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2255" tabRatio="839" firstSheet="1"/>
  </bookViews>
  <sheets>
    <sheet name=" Version Information" sheetId="3" r:id="rId1"/>
    <sheet name=" User operation commands" sheetId="2" r:id="rId2"/>
    <sheet name=" Crew information" sheetId="4" r:id="rId3"/>
    <sheet name=" Analog" sheetId="9" r:id="rId4"/>
    <sheet name=" Input, Output" sheetId="11" r:id="rId5"/>
    <sheet name=" Fault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<sst xmlns="http://schemas.openxmlformats.org/spreadsheetml/2006/main" count="320" uniqueCount="191">
  <si>
    <t>illustrate</t>
  </si>
  <si>
    <t>state</t>
  </si>
  <si>
    <t>Function code</t>
  </si>
  <si>
    <t>Address - decimal</t>
  </si>
  <si>
    <t>Version number: 16 characters</t>
  </si>
  <si>
    <t>Read-only integer</t>
  </si>
  <si>
    <t>0X04</t>
  </si>
  <si>
    <t>Point Name</t>
  </si>
  <si>
    <t>0XFF00: Power on</t>
  </si>
  <si>
    <t>Write only switch quantity</t>
  </si>
  <si>
    <t>0X05</t>
  </si>
  <si>
    <t>Unit startup</t>
  </si>
  <si>
    <t>0XFF00: Shutdown</t>
  </si>
  <si>
    <t>Unit shutdown</t>
  </si>
  <si>
    <t>0XFF00: Reset</t>
  </si>
  <si>
    <t>Reset Command</t>
  </si>
  <si>
    <t>0XFF00: Silence</t>
  </si>
  <si>
    <t>Mute command</t>
  </si>
  <si>
    <t>0XFF00: n# module defrost</t>
  </si>
  <si>
    <t>Manual defrost</t>
  </si>
  <si>
    <t>16+n</t>
  </si>
  <si>
    <t>Modbus Address</t>
  </si>
  <si>
    <t>Setting range</t>
  </si>
  <si>
    <t>default value</t>
  </si>
  <si>
    <t>unit</t>
  </si>
  <si>
    <t>Control Mode</t>
  </si>
  <si>
    <t>1…6</t>
  </si>
  <si>
    <t>/</t>
  </si>
  <si>
    <t>{"1":"Constant temperature mode","2":"Cooling mode","3":"Heating mode","4":"Hot water mode","5":"Hot water &amp; cooling mode","6":"Hot water &amp; heating mode"}</t>
  </si>
  <si>
    <t>Refrigeration set temperature</t>
  </si>
  <si>
    <t>min…max</t>
  </si>
  <si>
    <t>℃</t>
  </si>
  <si>
    <t>min: [lower limit of cooling setting], max: [upper limit of cooling setting]</t>
  </si>
  <si>
    <t>Heating set temperature</t>
  </si>
  <si>
    <t>min: [lower limit of heating setting], max: [upper limit of heating setting]</t>
  </si>
  <si>
    <t>Hot water setting temperature</t>
  </si>
  <si>
    <t>30…60</t>
  </si>
  <si>
    <t>Power Mode</t>
  </si>
  <si>
    <t>0…2</t>
  </si>
  <si>
    <t>{"0":"Standard","1":"Powerful","2":"Energy-saving"}</t>
  </si>
  <si>
    <t>Silent Mode</t>
  </si>
  <si>
    <t>{"0":"Disable","1":"Mute at night","2":"Mute all day"}</t>
  </si>
  <si>
    <t>Night silence on</t>
  </si>
  <si>
    <t>0…23</t>
  </si>
  <si>
    <t>h</t>
  </si>
  <si>
    <t>Nighttime silent opening</t>
  </si>
  <si>
    <t>0…59</t>
  </si>
  <si>
    <t>m</t>
  </si>
  <si>
    <t>Night silent off</t>
  </si>
  <si>
    <t>Nighttime silent mode</t>
  </si>
  <si>
    <t>Duty function enabled</t>
  </si>
  <si>
    <t>0…1</t>
  </si>
  <si>
    <t>{"0":"Disable","1":"Enable"}</t>
  </si>
  <si>
    <t>Heating duty temperature</t>
  </si>
  <si>
    <t>Refrigeration duty temperature</t>
  </si>
  <si>
    <t>Duty time</t>
  </si>
  <si>
    <t>Duty activation segment</t>
  </si>
  <si>
    <t>Duty downtime</t>
  </si>
  <si>
    <t>Duty suspension period</t>
  </si>
  <si>
    <t>Heating two-way interlock</t>
  </si>
  <si>
    <t>Pump operation mode</t>
  </si>
  <si>
    <t>{"0":"Run continuously","1":"Stop when temperature reaches","2":"Run intermittently"}</t>
  </si>
  <si>
    <t>Terminal pump enable</t>
  </si>
  <si>
    <t>Number of modules</t>
  </si>
  <si>
    <t>1…8</t>
  </si>
  <si>
    <t>00#Module Settings</t>
  </si>
  <si>
    <t>01#Module Settings</t>
  </si>
  <si>
    <t>02#Module Settings</t>
  </si>
  <si>
    <t>03#Module Settings</t>
  </si>
  <si>
    <t>04#Module Settings</t>
  </si>
  <si>
    <t>05#Module Settings</t>
  </si>
  <si>
    <t>06#Module Settings</t>
  </si>
  <si>
    <t>07#Module Settings</t>
  </si>
  <si>
    <t xml:space="preserve"> B0: Unit standby state
B1: Unit starting
B2: Unit running state
B3: Unit stopping
B4: Unit serious alarm state
B5: 
B6: 
B7: 
B8: Unit preheating
B9: Unit fault
B10: Unit antifreeze
B11: Unit defrosting
B12: 
B13: 
B14: 
B15: Two-way valve interlock</t>
  </si>
  <si>
    <t>Unit status</t>
  </si>
  <si>
    <t>Number of presses</t>
  </si>
  <si>
    <t>Please refer to "Mode Setting" in the parameter table.</t>
  </si>
  <si>
    <t>Setting mode</t>
  </si>
  <si>
    <t>Current operating mode</t>
  </si>
  <si>
    <t>Unit 0.1℃</t>
  </si>
  <si>
    <t>Air conditioning set temperature</t>
  </si>
  <si>
    <t>Air conditioning temperature control</t>
  </si>
  <si>
    <t>B0:0# Module usage disabled 
B1:1#Module usage disable 
B2:2#Module usage disable 
B3:3#Module usage disable 
B4:4#Module usage disable 
B5:5#Module usage disable 
B6:6#Module usage disable 
B7:7# Module usage disabled 
B8: 
B9: 
B10: 
B11: 
B12: 
B13: 
B14: 
B15:</t>
  </si>
  <si>
    <t>Module Usage</t>
  </si>
  <si>
    <t>Unit: Hour</t>
  </si>
  <si>
    <t>System running time</t>
  </si>
  <si>
    <t>Press running time 1</t>
  </si>
  <si>
    <t>Press running time 2</t>
  </si>
  <si>
    <t>Press running time 3</t>
  </si>
  <si>
    <t>Press running time 4</t>
  </si>
  <si>
    <t>Press running time 5</t>
  </si>
  <si>
    <t>Press running time 6</t>
  </si>
  <si>
    <t>Press running time 7</t>
  </si>
  <si>
    <t>Press running time 8</t>
  </si>
  <si>
    <t>Read-only integer; function code: 04</t>
  </si>
  <si>
    <t>Module resources</t>
  </si>
  <si>
    <t>Address (decimal)</t>
  </si>
  <si>
    <t>System resources</t>
  </si>
  <si>
    <t>0#Module</t>
  </si>
  <si>
    <t>Module 1#</t>
  </si>
  <si>
    <t>Module 2#</t>
  </si>
  <si>
    <t>Module 3#</t>
  </si>
  <si>
    <t>Module 4#</t>
  </si>
  <si>
    <t>Module 5#</t>
  </si>
  <si>
    <t>Module 6#</t>
  </si>
  <si>
    <t>Module 7#</t>
  </si>
  <si>
    <t>Constant frequency current</t>
  </si>
  <si>
    <t>0.1A</t>
  </si>
  <si>
    <t>Return water temperature</t>
  </si>
  <si>
    <t>0.1℃</t>
  </si>
  <si>
    <t>Main electric expansion</t>
  </si>
  <si>
    <t>step</t>
  </si>
  <si>
    <t>Outlet water temperature</t>
  </si>
  <si>
    <t>Auxiliary electric expansion</t>
  </si>
  <si>
    <t>Ambient temperature</t>
  </si>
  <si>
    <t>Fin temperature</t>
  </si>
  <si>
    <t>Hot water tank temperature</t>
  </si>
  <si>
    <t>Exhaust temperature</t>
  </si>
  <si>
    <t>Suction temperature</t>
  </si>
  <si>
    <t>Valve back temperature</t>
  </si>
  <si>
    <t>Top pressing temperature</t>
  </si>
  <si>
    <t>Evaporation saturation temperature</t>
  </si>
  <si>
    <t>Condensation saturation temperature</t>
  </si>
  <si>
    <t>Press low pressure</t>
  </si>
  <si>
    <t>0.1bar</t>
  </si>
  <si>
    <t>Press high pressure</t>
  </si>
  <si>
    <t>Main valve target superheat</t>
  </si>
  <si>
    <t>Main valve is currently overheated</t>
  </si>
  <si>
    <t>Auxiliary valve target overheat</t>
  </si>
  <si>
    <t>Auxiliary valve is currently overheated</t>
  </si>
  <si>
    <t>Economizer Import</t>
  </si>
  <si>
    <t>Economizer Export</t>
  </si>
  <si>
    <t>Frost-free operation ring wing difference</t>
  </si>
  <si>
    <t>Target speed of variable frequency compressor</t>
  </si>
  <si>
    <t>0.1rps</t>
  </si>
  <si>
    <t>Current speed of variable frequency compressor</t>
  </si>
  <si>
    <t>Frequency converter voltage</t>
  </si>
  <si>
    <t>0.1V</t>
  </si>
  <si>
    <t>Frequency converter current</t>
  </si>
  <si>
    <t>Inverter temperature</t>
  </si>
  <si>
    <t>Inverter frequency limit information</t>
  </si>
  <si>
    <t>Variable frequency input current</t>
  </si>
  <si>
    <t>Variable frequency output power</t>
  </si>
  <si>
    <t>Set fan 1 speed</t>
  </si>
  <si>
    <t>rpm</t>
  </si>
  <si>
    <t>Current fan 1 speed</t>
  </si>
  <si>
    <t>Set fan 2 speed</t>
  </si>
  <si>
    <t>Current fan 2 speed</t>
  </si>
  <si>
    <t>EC fan 1 warning information</t>
  </si>
  <si>
    <t>EC fan 2 warning information</t>
  </si>
  <si>
    <t>Condensation return water temperature</t>
  </si>
  <si>
    <t>Condensation water temperature</t>
  </si>
  <si>
    <t>Temperature after refrigeration valve</t>
  </si>
  <si>
    <t>Temperature after heating valve</t>
  </si>
  <si>
    <t>\</t>
  </si>
  <si>
    <t>Module temperature recovery</t>
  </si>
  <si>
    <t>Module output temperature</t>
  </si>
  <si>
    <t>Module ambient temperature</t>
  </si>
  <si>
    <t>Anti-icing temperature</t>
  </si>
  <si>
    <t>Press relay output</t>
  </si>
  <si>
    <t>B0: Compressor 
B1: Four-way valve 
B2: Liquid injection valve 
B3: Constant frequency fan 1 
B4: Constant frequency fan 2 
B5: Crankshaft electric heating 
B6: Enthalpy increase valve 
B7: Defrost valve</t>
  </si>
  <si>
    <t>System relay output</t>
  </si>
  <si>
    <t>B0: Water tank electric heating 
B1: Air conditioning pump 
B2: Electric auxiliary heating 
B3: Floor heating valve 
B4: Cooling pump 
B5: Three-way valve 
B6: Terminal pump 
B7: Blower</t>
  </si>
  <si>
    <t>Unit relay output</t>
  </si>
  <si>
    <t>B0: Chassis electric heating 
B1: 
B2: 
B3: 
B4: 
B5: 
B6: 
B7:</t>
  </si>
  <si>
    <t>Press switch input</t>
  </si>
  <si>
    <t>B0: Low voltage switch 
B1: High voltage switch 
B2: 
B3: 
B4: 
B5: 
B6: 
B7:</t>
  </si>
  <si>
    <t>System switch input</t>
  </si>
  <si>
    <t>B0: Two-way valve interlock 
B1: Line control switch 
B2: 
B3: Air supply pressure difference 
B4: 
B5: 
B6: 
B7:</t>
  </si>
  <si>
    <t>Unit switch input</t>
  </si>
  <si>
    <t>B0: 
B1: 
B2: Water source/fan overload 
B3: Water flow switch B4: Power failure 
B5: Frequency reduction switch 
B6: 
B7:</t>
  </si>
  <si>
    <t>Press failure 1</t>
  </si>
  <si>
    <t>B0: Low pressure
B1: High pressure
B2: Compressor current is too large
B3: Compressor current is too small
B4: Fin temperature probe failure
B5: Exhaust temperature probe failur
B6: Exhaust temperature is too high
B7: Low pressure sensor failure
B8: High pressure sensor failure
B9: Low pressure is too low
B10: High pressure is too high
B11: Suction temperature failure
B12: Valve rear temperature failure
B13: Refrigeration suction is too low
B14: Emergency defrosting is frequent
B15: Suction and exhaust temperature difference is frequent</t>
  </si>
  <si>
    <t>System Failure 1</t>
  </si>
  <si>
    <t>B0: 
B1: Phase error protection 
B2: EEPROM data error 
B3: System ambient temperature failure 
B4: System temperature return failure 
B5: System temperature output failure 
B6: System maintenance data error 
B7: Phase loss protection 
B8: Air supply pressure difference</t>
  </si>
  <si>
    <t>Press failure 2</t>
  </si>
  <si>
    <t>B0: Refrigeration evaporation is too low 
B1: Frequency reduction switch 
B2: Standby 
B3: Return water temperature is too low 
B4: Return water temperature is too high 
B5: Fan 1 speed is abnormal 
B6: Fan 2 speed is abnormal 
B7: EC1 communication failure 
B8: EC1 failure 
B9: EC2 communication failure 
B10: EC2 failure B11: Frequency conversion communication failure 
B12: Frequency conversion failure 
B13: Frequency conversion model is being set 
B14: Economizer inlet temperature failure 
B15: Economizer outlet temperature failure</t>
  </si>
  <si>
    <t>System Failure 2</t>
  </si>
  <si>
    <t>B0: Communication failure of fan disk 01
B1: Communication failure of fan disk 02
B2: Communication failure of fan disk 03
B3: Communication failure of fan disk 04
B4: Communication failure of fan disk 05
B5: Communication failure of fan disk 06
B6: Communication failure of fan disk 07
B7: Communication failure of fan disk 08
B8: Communication failure of fan disk 09
B9: Communication failure of fan disk 10
B10: Communication failure of fan disk 11
B11: Communication failure of fan disk 12
B12: Communication failure of fan disk 13
B13: Communication failure of fan disk 14
B14: Communication failure of fan disk 15
B15: Communication failure of fan disk 16</t>
  </si>
  <si>
    <t>Press failure 3</t>
  </si>
  <si>
    <t>B0: Fault after cooling valve B1: Fault after heating valve</t>
  </si>
  <si>
    <t>System Failure 3</t>
  </si>
  <si>
    <t>B0: Fault of fan disk 01
B1: Fault of fan disk 02
B2: Fault of fan disk 03
B3: Fault of fan disk 04
B4: Fault of fan disk 05
B5: Fault of fan disk 06
B6: Fault of fan disk 07
B7: Fault of fan disk 08
B8: Fault of fan disk 09
B9: Fault of fan disk 10
B10: Fault of fan disk 11
B11: Fault of fan disk 12
B12: Fault of fan disk 13
B13: Fault of fan disk 14
B14: Fault of fan disk 15
B15: Fault of fan disk 17</t>
  </si>
  <si>
    <t>Unit failure 1</t>
  </si>
  <si>
    <t>B0: Module ambient temperature failure 
B1: Communication failure 
B2: EEPROM data error 
B3: Phase loss protection 
B4: Reverse phase protection 
B5: Module output temperature is too low 
B6: Module output temperature is too high 
B7: Module output temperature failure 
B8: Insufficient air flow B9: Fan overload protection 
B10: Module temperature return failure 
B11: Anti-icing temperature is too low 
B12: Anti-icing temperature failure 
B13: Output and return temperature difference is too large 
B14: Output and return temperature difference is abnormal 
B15: Power failure</t>
  </si>
  <si>
    <t>System Failure 4</t>
  </si>
  <si>
    <t>B0: Communication failure of fan disk 17 B1: Communication failure of fan disk 18 B2: Communication failure of fan disk 19 B3: Communication failure of fan disk 20 B4: Communication failure of fan disk 21 B5: Communication failure of fan disk 22 B6: Communication failure of fan disk 23 B7: Communication failure of fan disk 24 B8: Communication failure of fan disk 25 B9: Communication failure of fan disk 26 B10: Communication failure of fan disk 27 B11: Communication failure of fan disk 28 B12: Communication failure of fan disk 29 B13: Communication failure of fan disk 30 B14: Communication failure of fan disk 31 B15: Communication failure of fan disk 32</t>
  </si>
  <si>
    <t>Unit failure 2</t>
  </si>
  <si>
    <t>B0: Communication abnormality 
B1: Insufficient water flow from water source 
B2: Condensation temperature return failure 
B3: Condensation temperature output failure</t>
  </si>
  <si>
    <t>System Failure 5</t>
  </si>
  <si>
    <t>B0: Fan disk 17 failure
B1: Fan disk 18 failure
B2: Fan disk 19 failure
B3: Fan disk 20 failure
B4: Fan disk 21 failure
B5: Fan disk 22 failure
B6: Fan disk 23 failure
B7: Fan disk 24 failure
B8: Fan disk 25 failure
B9: Fan disk 26 failure
B10: Fan disk 27 failure
B11: Fan disk 28 failure
B12: Fan disk 29 failure
B13: Fan disk 30 failure
B14: Fan disk 31 failure
B15: Fan disk 32 failure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</si>
</sst>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A1" sqref="$A1:$XFD1048576"/>
    </sheetView>
  </sheetViews>
  <sheetFormatPr defaultColWidth="9" defaultRowHeight="13.5" outlineLevelRow="1"/>
  <cols>
    <col min="1" max="1" width="26.675" customWidth="1"/>
    <col min="2" max="2" width="18.5083333333333" customWidth="1"/>
    <col min="3" max="3" width="15.675" customWidth="1"/>
    <col min="4" max="4" width="19.675" customWidth="1"/>
  </cols>
  <sheetData>
    <row r="1" ht="18.5" customHeight="1" spans="1:19">
      <c r="A1" s="20" t="s">
        <v>0</v>
      </c>
      <c r="B1" s="20" t="s">
        <v>1</v>
      </c>
      <c r="C1" s="20" t="s">
        <v>2</v>
      </c>
      <c r="D1" s="20" t="s">
        <v>3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ht="18.5" customHeight="1" spans="1:19">
      <c r="A2" s="19" t="s">
        <v>4</v>
      </c>
      <c r="B2" s="19" t="s">
        <v>5</v>
      </c>
      <c r="C2" s="19" t="s">
        <v>6</v>
      </c>
      <c r="D2" s="6">
        <v>256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topLeftCell="A16" workbookViewId="0">
      <selection activeCell="A16" sqref="$A1:$XFD1048576"/>
    </sheetView>
  </sheetViews>
  <sheetFormatPr defaultColWidth="9" defaultRowHeight="13.5"/>
  <cols>
    <col min="1" max="1" width="27.3416666666667" customWidth="1"/>
    <col min="2" max="2" width="16.5083333333333" customWidth="1"/>
    <col min="3" max="3" width="15.675" customWidth="1"/>
    <col min="4" max="4" width="16.3416666666667" customWidth="1"/>
    <col min="5" max="5" width="19.675" customWidth="1"/>
    <col min="6" max="6" width="40.625" customWidth="1"/>
  </cols>
  <sheetData>
    <row r="1" ht="18.5" customHeight="1" spans="1:20">
      <c r="A1" s="20" t="s">
        <v>0</v>
      </c>
      <c r="B1" s="20" t="s">
        <v>1</v>
      </c>
      <c r="C1" s="20" t="s">
        <v>2</v>
      </c>
      <c r="D1" s="20" t="s">
        <v>7</v>
      </c>
      <c r="E1" s="20" t="s">
        <v>3</v>
      </c>
      <c r="F1" s="34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ht="18.5" customHeight="1" spans="1:20">
      <c r="A2" s="24" t="s">
        <v>8</v>
      </c>
      <c r="B2" s="24" t="s">
        <v>9</v>
      </c>
      <c r="C2" s="24" t="s">
        <v>10</v>
      </c>
      <c r="D2" s="24" t="s">
        <v>11</v>
      </c>
      <c r="E2" s="25">
        <v>0</v>
      </c>
      <c r="F2" s="35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ht="18.5" customHeight="1" spans="1:20">
      <c r="A3" s="24" t="s">
        <v>12</v>
      </c>
      <c r="B3" s="25"/>
      <c r="C3" s="25"/>
      <c r="D3" s="24" t="s">
        <v>13</v>
      </c>
      <c r="E3" s="25">
        <v>1</v>
      </c>
      <c r="F3" s="35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ht="18.5" customHeight="1" spans="1:20">
      <c r="A4" s="24" t="s">
        <v>14</v>
      </c>
      <c r="B4" s="25"/>
      <c r="C4" s="25"/>
      <c r="D4" s="24" t="s">
        <v>15</v>
      </c>
      <c r="E4" s="25">
        <v>8</v>
      </c>
      <c r="F4" s="35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ht="18.5" customHeight="1" spans="1:20">
      <c r="A5" s="24" t="s">
        <v>16</v>
      </c>
      <c r="B5" s="25"/>
      <c r="C5" s="25"/>
      <c r="D5" s="24" t="s">
        <v>17</v>
      </c>
      <c r="E5" s="25">
        <v>9</v>
      </c>
      <c r="F5" s="35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ht="18.5" customHeight="1" spans="1:6">
      <c r="A6" s="24" t="s">
        <v>18</v>
      </c>
      <c r="B6" s="25"/>
      <c r="C6" s="25"/>
      <c r="D6" s="24" t="s">
        <v>19</v>
      </c>
      <c r="E6" s="24" t="s">
        <v>20</v>
      </c>
      <c r="F6" s="13"/>
    </row>
    <row r="7" ht="18.5" customHeight="1" spans="1:6">
      <c r="A7" s="36"/>
      <c r="B7" s="36"/>
      <c r="C7" s="36"/>
      <c r="D7" s="36"/>
      <c r="E7" s="36"/>
      <c r="F7" s="36"/>
    </row>
    <row r="8" ht="18.5" customHeight="1" spans="1:6">
      <c r="A8" s="37"/>
      <c r="B8" s="19" t="s">
        <v>21</v>
      </c>
      <c r="C8" s="19" t="s">
        <v>22</v>
      </c>
      <c r="D8" s="19" t="s">
        <v>23</v>
      </c>
      <c r="E8" s="19" t="s">
        <v>24</v>
      </c>
      <c r="F8" s="38"/>
    </row>
    <row r="9" ht="68" customHeight="1" spans="1:6">
      <c r="A9" s="39" t="s">
        <v>25</v>
      </c>
      <c r="B9" s="18">
        <v>6400</v>
      </c>
      <c r="C9" s="24" t="s">
        <v>26</v>
      </c>
      <c r="D9" s="25">
        <v>2</v>
      </c>
      <c r="E9" s="24" t="s">
        <v>27</v>
      </c>
      <c r="F9" s="40" t="s">
        <v>28</v>
      </c>
    </row>
    <row r="10" ht="35" customHeight="1" spans="1:6">
      <c r="A10" s="39" t="s">
        <v>29</v>
      </c>
      <c r="B10" s="18">
        <v>6401</v>
      </c>
      <c r="C10" s="19" t="s">
        <v>30</v>
      </c>
      <c r="D10" s="9">
        <v>12</v>
      </c>
      <c r="E10" s="19" t="s">
        <v>31</v>
      </c>
      <c r="F10" s="41" t="s">
        <v>32</v>
      </c>
    </row>
    <row r="11" ht="35" customHeight="1" spans="1:6">
      <c r="A11" s="39" t="s">
        <v>33</v>
      </c>
      <c r="B11" s="18">
        <v>6402</v>
      </c>
      <c r="C11" s="19" t="s">
        <v>30</v>
      </c>
      <c r="D11" s="9">
        <v>45</v>
      </c>
      <c r="E11" s="19" t="s">
        <v>31</v>
      </c>
      <c r="F11" s="41" t="s">
        <v>34</v>
      </c>
    </row>
    <row r="12" ht="18.5" customHeight="1" spans="1:6">
      <c r="A12" s="39" t="s">
        <v>35</v>
      </c>
      <c r="B12" s="18">
        <v>6403</v>
      </c>
      <c r="C12" s="19" t="s">
        <v>36</v>
      </c>
      <c r="D12" s="9">
        <v>50</v>
      </c>
      <c r="E12" s="19" t="s">
        <v>31</v>
      </c>
      <c r="F12" s="42"/>
    </row>
    <row r="13" ht="18.5" customHeight="1" spans="1:6">
      <c r="A13" s="24" t="s">
        <v>37</v>
      </c>
      <c r="B13" s="24">
        <v>6405</v>
      </c>
      <c r="C13" s="24" t="s">
        <v>38</v>
      </c>
      <c r="D13" s="24">
        <v>0</v>
      </c>
      <c r="E13" s="24" t="s">
        <v>27</v>
      </c>
      <c r="F13" s="43" t="s">
        <v>39</v>
      </c>
    </row>
    <row r="14" ht="35" customHeight="1" spans="1:6">
      <c r="A14" s="24" t="s">
        <v>40</v>
      </c>
      <c r="B14" s="24">
        <v>6406</v>
      </c>
      <c r="C14" s="24" t="s">
        <v>38</v>
      </c>
      <c r="D14" s="24">
        <v>0</v>
      </c>
      <c r="E14" s="24" t="s">
        <v>27</v>
      </c>
      <c r="F14" s="43" t="s">
        <v>41</v>
      </c>
    </row>
    <row r="15" ht="18.5" customHeight="1" spans="1:6">
      <c r="A15" s="24" t="s">
        <v>42</v>
      </c>
      <c r="B15" s="24">
        <v>6407</v>
      </c>
      <c r="C15" s="24" t="s">
        <v>43</v>
      </c>
      <c r="D15" s="24">
        <v>22</v>
      </c>
      <c r="E15" s="24" t="s">
        <v>44</v>
      </c>
      <c r="F15" s="43"/>
    </row>
    <row r="16" ht="18.5" customHeight="1" spans="1:6">
      <c r="A16" s="24" t="s">
        <v>45</v>
      </c>
      <c r="B16" s="24">
        <v>6408</v>
      </c>
      <c r="C16" s="24" t="s">
        <v>46</v>
      </c>
      <c r="D16" s="24">
        <v>0</v>
      </c>
      <c r="E16" s="24" t="s">
        <v>47</v>
      </c>
      <c r="F16" s="43"/>
    </row>
    <row r="17" ht="18.5" customHeight="1" spans="1:6">
      <c r="A17" s="24" t="s">
        <v>48</v>
      </c>
      <c r="B17" s="24">
        <v>6409</v>
      </c>
      <c r="C17" s="24" t="s">
        <v>43</v>
      </c>
      <c r="D17" s="24">
        <v>7</v>
      </c>
      <c r="E17" s="24" t="s">
        <v>44</v>
      </c>
      <c r="F17" s="43"/>
    </row>
    <row r="18" ht="18.5" customHeight="1" spans="1:6">
      <c r="A18" s="24" t="s">
        <v>49</v>
      </c>
      <c r="B18" s="24">
        <v>6410</v>
      </c>
      <c r="C18" s="24" t="s">
        <v>46</v>
      </c>
      <c r="D18" s="24">
        <v>0</v>
      </c>
      <c r="E18" s="24" t="s">
        <v>47</v>
      </c>
      <c r="F18" s="43"/>
    </row>
    <row r="19" ht="18.5" customHeight="1" spans="1:6">
      <c r="A19" s="24" t="s">
        <v>50</v>
      </c>
      <c r="B19" s="24">
        <v>6411</v>
      </c>
      <c r="C19" s="24" t="s">
        <v>51</v>
      </c>
      <c r="D19" s="24">
        <v>0</v>
      </c>
      <c r="E19" s="24" t="s">
        <v>27</v>
      </c>
      <c r="F19" s="43" t="s">
        <v>52</v>
      </c>
    </row>
    <row r="20" ht="35" customHeight="1" spans="1:6">
      <c r="A20" s="24" t="s">
        <v>53</v>
      </c>
      <c r="B20" s="24">
        <v>6412</v>
      </c>
      <c r="C20" s="24" t="s">
        <v>30</v>
      </c>
      <c r="D20" s="24">
        <v>0</v>
      </c>
      <c r="E20" s="24" t="s">
        <v>31</v>
      </c>
      <c r="F20" s="43" t="s">
        <v>34</v>
      </c>
    </row>
    <row r="21" ht="35" customHeight="1" spans="1:6">
      <c r="A21" s="24" t="s">
        <v>54</v>
      </c>
      <c r="B21" s="24">
        <v>6413</v>
      </c>
      <c r="C21" s="24" t="s">
        <v>30</v>
      </c>
      <c r="D21" s="24">
        <v>0</v>
      </c>
      <c r="E21" s="24" t="s">
        <v>31</v>
      </c>
      <c r="F21" s="43" t="s">
        <v>32</v>
      </c>
    </row>
    <row r="22" ht="18.5" customHeight="1" spans="1:6">
      <c r="A22" s="24" t="s">
        <v>55</v>
      </c>
      <c r="B22" s="24">
        <v>6414</v>
      </c>
      <c r="C22" s="24" t="s">
        <v>43</v>
      </c>
      <c r="D22" s="24">
        <v>0</v>
      </c>
      <c r="E22" s="24" t="s">
        <v>44</v>
      </c>
      <c r="F22" s="43"/>
    </row>
    <row r="23" ht="18.5" customHeight="1" spans="1:6">
      <c r="A23" s="24" t="s">
        <v>56</v>
      </c>
      <c r="B23" s="24">
        <v>6415</v>
      </c>
      <c r="C23" s="24" t="s">
        <v>46</v>
      </c>
      <c r="D23" s="24">
        <v>0</v>
      </c>
      <c r="E23" s="24" t="s">
        <v>47</v>
      </c>
      <c r="F23" s="43"/>
    </row>
    <row r="24" ht="18.5" customHeight="1" spans="1:6">
      <c r="A24" s="24" t="s">
        <v>57</v>
      </c>
      <c r="B24" s="24">
        <v>6416</v>
      </c>
      <c r="C24" s="24" t="s">
        <v>43</v>
      </c>
      <c r="D24" s="24">
        <v>0</v>
      </c>
      <c r="E24" s="24" t="s">
        <v>44</v>
      </c>
      <c r="F24" s="43"/>
    </row>
    <row r="25" ht="18.5" customHeight="1" spans="1:6">
      <c r="A25" s="24" t="s">
        <v>58</v>
      </c>
      <c r="B25" s="24">
        <v>6417</v>
      </c>
      <c r="C25" s="24" t="s">
        <v>46</v>
      </c>
      <c r="D25" s="24">
        <v>0</v>
      </c>
      <c r="E25" s="24" t="s">
        <v>47</v>
      </c>
      <c r="F25" s="43"/>
    </row>
    <row r="26" ht="18.5" customHeight="1" spans="1:6">
      <c r="A26" s="24" t="s">
        <v>59</v>
      </c>
      <c r="B26" s="24">
        <v>6418</v>
      </c>
      <c r="C26" s="24" t="s">
        <v>51</v>
      </c>
      <c r="D26" s="24">
        <v>1</v>
      </c>
      <c r="E26" s="24" t="s">
        <v>27</v>
      </c>
      <c r="F26" s="43" t="s">
        <v>52</v>
      </c>
    </row>
    <row r="27" ht="35" customHeight="1" spans="1:6">
      <c r="A27" s="24" t="s">
        <v>60</v>
      </c>
      <c r="B27" s="24">
        <v>6421</v>
      </c>
      <c r="C27" s="24" t="s">
        <v>38</v>
      </c>
      <c r="D27" s="24">
        <v>0</v>
      </c>
      <c r="E27" s="24" t="s">
        <v>27</v>
      </c>
      <c r="F27" s="43" t="s">
        <v>61</v>
      </c>
    </row>
    <row r="28" ht="18.5" customHeight="1" spans="1:6">
      <c r="A28" s="24" t="s">
        <v>62</v>
      </c>
      <c r="B28" s="24">
        <v>6422</v>
      </c>
      <c r="C28" s="24" t="s">
        <v>51</v>
      </c>
      <c r="D28" s="24">
        <v>1</v>
      </c>
      <c r="E28" s="24" t="s">
        <v>27</v>
      </c>
      <c r="F28" s="43" t="s">
        <v>52</v>
      </c>
    </row>
    <row r="29" ht="18.5" customHeight="1" spans="1:6">
      <c r="A29" s="24" t="s">
        <v>63</v>
      </c>
      <c r="B29" s="24">
        <v>6430</v>
      </c>
      <c r="C29" s="24" t="s">
        <v>64</v>
      </c>
      <c r="D29" s="24">
        <v>1</v>
      </c>
      <c r="E29" s="24" t="s">
        <v>27</v>
      </c>
      <c r="F29" s="43"/>
    </row>
    <row r="30" ht="18.5" customHeight="1" spans="1:6">
      <c r="A30" s="24" t="s">
        <v>65</v>
      </c>
      <c r="B30" s="24">
        <v>6431</v>
      </c>
      <c r="C30" s="24" t="s">
        <v>51</v>
      </c>
      <c r="D30" s="24">
        <v>1</v>
      </c>
      <c r="E30" s="24" t="s">
        <v>27</v>
      </c>
      <c r="F30" s="43" t="s">
        <v>52</v>
      </c>
    </row>
    <row r="31" ht="18.5" customHeight="1" spans="1:6">
      <c r="A31" s="24" t="s">
        <v>66</v>
      </c>
      <c r="B31" s="24">
        <v>6432</v>
      </c>
      <c r="C31" s="24" t="s">
        <v>51</v>
      </c>
      <c r="D31" s="24">
        <v>1</v>
      </c>
      <c r="E31" s="24" t="s">
        <v>27</v>
      </c>
      <c r="F31" s="43" t="s">
        <v>52</v>
      </c>
    </row>
    <row r="32" ht="18.5" customHeight="1" spans="1:6">
      <c r="A32" s="24" t="s">
        <v>67</v>
      </c>
      <c r="B32" s="24">
        <v>6433</v>
      </c>
      <c r="C32" s="24" t="s">
        <v>51</v>
      </c>
      <c r="D32" s="24">
        <v>1</v>
      </c>
      <c r="E32" s="24" t="s">
        <v>27</v>
      </c>
      <c r="F32" s="43" t="s">
        <v>52</v>
      </c>
    </row>
    <row r="33" ht="18.5" customHeight="1" spans="1:6">
      <c r="A33" s="24" t="s">
        <v>68</v>
      </c>
      <c r="B33" s="24">
        <v>6434</v>
      </c>
      <c r="C33" s="24" t="s">
        <v>51</v>
      </c>
      <c r="D33" s="24">
        <v>1</v>
      </c>
      <c r="E33" s="24" t="s">
        <v>27</v>
      </c>
      <c r="F33" s="43" t="s">
        <v>52</v>
      </c>
    </row>
    <row r="34" ht="18.5" customHeight="1" spans="1:6">
      <c r="A34" s="24" t="s">
        <v>69</v>
      </c>
      <c r="B34" s="24">
        <v>6435</v>
      </c>
      <c r="C34" s="24" t="s">
        <v>51</v>
      </c>
      <c r="D34" s="24">
        <v>1</v>
      </c>
      <c r="E34" s="24" t="s">
        <v>27</v>
      </c>
      <c r="F34" s="43" t="s">
        <v>52</v>
      </c>
    </row>
    <row r="35" ht="18.5" customHeight="1" spans="1:6">
      <c r="A35" s="24" t="s">
        <v>70</v>
      </c>
      <c r="B35" s="24">
        <v>6436</v>
      </c>
      <c r="C35" s="24" t="s">
        <v>51</v>
      </c>
      <c r="D35" s="24">
        <v>1</v>
      </c>
      <c r="E35" s="24" t="s">
        <v>27</v>
      </c>
      <c r="F35" s="43" t="s">
        <v>52</v>
      </c>
    </row>
    <row r="36" ht="18.5" customHeight="1" spans="1:6">
      <c r="A36" s="24" t="s">
        <v>71</v>
      </c>
      <c r="B36" s="24">
        <v>6437</v>
      </c>
      <c r="C36" s="24" t="s">
        <v>51</v>
      </c>
      <c r="D36" s="24">
        <v>1</v>
      </c>
      <c r="E36" s="24" t="s">
        <v>27</v>
      </c>
      <c r="F36" s="43" t="s">
        <v>52</v>
      </c>
    </row>
    <row r="37" ht="18.5" customHeight="1" spans="1:6">
      <c r="A37" s="24" t="s">
        <v>72</v>
      </c>
      <c r="B37" s="24">
        <v>6438</v>
      </c>
      <c r="C37" s="24" t="s">
        <v>51</v>
      </c>
      <c r="D37" s="24">
        <v>1</v>
      </c>
      <c r="E37" s="24" t="s">
        <v>27</v>
      </c>
      <c r="F37" s="43" t="s">
        <v>52</v>
      </c>
    </row>
  </sheetData>
  <mergeCells count="2">
    <mergeCell ref="B2:B6"/>
    <mergeCell ref="C2:C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opLeftCell="A8" workbookViewId="0">
      <selection activeCell="A8" sqref="$A1:$XFD1048576"/>
    </sheetView>
  </sheetViews>
  <sheetFormatPr defaultColWidth="9" defaultRowHeight="13.5"/>
  <cols>
    <col min="1" max="1" width="40.625" customWidth="1"/>
    <col min="2" max="2" width="7.175" customWidth="1"/>
    <col min="3" max="3" width="15.675" customWidth="1"/>
    <col min="4" max="4" width="31.675" customWidth="1"/>
    <col min="5" max="5" width="19.675" customWidth="1"/>
  </cols>
  <sheetData>
    <row r="1" ht="18.5" customHeight="1" spans="1:20">
      <c r="A1" s="20" t="s">
        <v>0</v>
      </c>
      <c r="B1" s="20" t="s">
        <v>1</v>
      </c>
      <c r="C1" s="20" t="s">
        <v>2</v>
      </c>
      <c r="D1" s="20" t="s">
        <v>7</v>
      </c>
      <c r="E1" s="20" t="s">
        <v>3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customFormat="1" ht="266" customHeight="1" spans="1:20">
      <c r="A2" s="7" t="s">
        <v>73</v>
      </c>
      <c r="B2" s="19" t="s">
        <v>5</v>
      </c>
      <c r="C2" s="19" t="s">
        <v>6</v>
      </c>
      <c r="D2" s="19" t="s">
        <v>74</v>
      </c>
      <c r="E2" s="9">
        <v>768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ht="18.5" customHeight="1" spans="1:20">
      <c r="A3" s="31"/>
      <c r="B3" s="9"/>
      <c r="C3" s="9"/>
      <c r="D3" s="19" t="s">
        <v>75</v>
      </c>
      <c r="E3" s="9">
        <v>769</v>
      </c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ht="35" customHeight="1" spans="1:20">
      <c r="A4" s="32" t="s">
        <v>76</v>
      </c>
      <c r="B4" s="9"/>
      <c r="C4" s="9"/>
      <c r="D4" s="19" t="s">
        <v>77</v>
      </c>
      <c r="E4" s="9">
        <v>770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ht="35" customHeight="1" spans="1:20">
      <c r="A5" s="32" t="s">
        <v>76</v>
      </c>
      <c r="B5" s="9"/>
      <c r="C5" s="9"/>
      <c r="D5" s="19" t="s">
        <v>78</v>
      </c>
      <c r="E5" s="9">
        <v>771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ht="18.5" customHeight="1" spans="1:20">
      <c r="A6" s="32" t="s">
        <v>79</v>
      </c>
      <c r="B6" s="9"/>
      <c r="C6" s="9"/>
      <c r="D6" s="19" t="s">
        <v>80</v>
      </c>
      <c r="E6" s="9">
        <v>772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ht="18.5" customHeight="1" spans="1:20">
      <c r="A7" s="32" t="s">
        <v>79</v>
      </c>
      <c r="B7" s="9"/>
      <c r="C7" s="9"/>
      <c r="D7" s="19" t="s">
        <v>81</v>
      </c>
      <c r="E7" s="9">
        <v>773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customFormat="1" ht="266" customHeight="1" spans="1:20">
      <c r="A8" s="7" t="s">
        <v>82</v>
      </c>
      <c r="B8" s="9"/>
      <c r="C8" s="9"/>
      <c r="D8" s="19" t="s">
        <v>83</v>
      </c>
      <c r="E8" s="9">
        <v>788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ht="18.5" customHeight="1" spans="1:5">
      <c r="A9" s="33" t="s">
        <v>84</v>
      </c>
      <c r="B9" s="9"/>
      <c r="C9" s="9"/>
      <c r="D9" s="24" t="s">
        <v>85</v>
      </c>
      <c r="E9" s="25">
        <v>1024</v>
      </c>
    </row>
    <row r="10" ht="18.5" customHeight="1" spans="1:5">
      <c r="A10" s="22"/>
      <c r="B10" s="9"/>
      <c r="C10" s="9"/>
      <c r="D10" s="24" t="s">
        <v>86</v>
      </c>
      <c r="E10" s="25">
        <v>1025</v>
      </c>
    </row>
    <row r="11" ht="18.5" customHeight="1" spans="1:5">
      <c r="A11" s="22"/>
      <c r="B11" s="9"/>
      <c r="C11" s="9"/>
      <c r="D11" s="24" t="s">
        <v>87</v>
      </c>
      <c r="E11" s="25">
        <v>1026</v>
      </c>
    </row>
    <row r="12" ht="18.5" customHeight="1" spans="1:5">
      <c r="A12" s="22"/>
      <c r="B12" s="9"/>
      <c r="C12" s="9"/>
      <c r="D12" s="24" t="s">
        <v>88</v>
      </c>
      <c r="E12" s="25">
        <v>1027</v>
      </c>
    </row>
    <row r="13" ht="18.5" customHeight="1" spans="1:5">
      <c r="A13" s="22"/>
      <c r="B13" s="9"/>
      <c r="C13" s="9"/>
      <c r="D13" s="24" t="s">
        <v>89</v>
      </c>
      <c r="E13" s="25">
        <v>1028</v>
      </c>
    </row>
    <row r="14" ht="18.5" customHeight="1" spans="1:5">
      <c r="A14" s="22"/>
      <c r="B14" s="9"/>
      <c r="C14" s="9"/>
      <c r="D14" s="24" t="s">
        <v>90</v>
      </c>
      <c r="E14" s="25">
        <v>1029</v>
      </c>
    </row>
    <row r="15" ht="18.5" customHeight="1" spans="1:5">
      <c r="A15" s="22"/>
      <c r="B15" s="9"/>
      <c r="C15" s="9"/>
      <c r="D15" s="24" t="s">
        <v>91</v>
      </c>
      <c r="E15" s="25">
        <v>1030</v>
      </c>
    </row>
    <row r="16" ht="18.5" customHeight="1" spans="1:5">
      <c r="A16" s="22"/>
      <c r="B16" s="9"/>
      <c r="C16" s="9"/>
      <c r="D16" s="24" t="s">
        <v>92</v>
      </c>
      <c r="E16" s="25">
        <v>1031</v>
      </c>
    </row>
    <row r="17" ht="18.5" customHeight="1" spans="1:5">
      <c r="A17" s="23"/>
      <c r="B17" s="9"/>
      <c r="C17" s="9"/>
      <c r="D17" s="24" t="s">
        <v>93</v>
      </c>
      <c r="E17" s="25">
        <v>1032</v>
      </c>
    </row>
  </sheetData>
  <mergeCells count="3">
    <mergeCell ref="A9:A17"/>
    <mergeCell ref="B2:B17"/>
    <mergeCell ref="C2:C1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workbookViewId="0">
      <pane ySplit="3" topLeftCell="A42" activePane="bottomLeft" state="frozen"/>
      <selection/>
      <selection pane="bottomLeft" activeCell="A1" sqref="$A1:$XFD1048576"/>
    </sheetView>
  </sheetViews>
  <sheetFormatPr defaultColWidth="9" defaultRowHeight="13.5"/>
  <cols>
    <col min="1" max="1" width="45.675" style="14" customWidth="1"/>
    <col min="2" max="2" width="10.0083333333333" style="14" customWidth="1"/>
    <col min="3" max="3" width="14.0083333333333" customWidth="1"/>
    <col min="4" max="10" width="14.5083333333333" customWidth="1"/>
    <col min="11" max="11" width="27.8416666666667" style="14" customWidth="1"/>
    <col min="12" max="12" width="8.50833333333333" style="14" customWidth="1"/>
    <col min="13" max="13" width="21.3416666666667" style="14" customWidth="1"/>
  </cols>
  <sheetData>
    <row r="1" customFormat="1" ht="28.5" customHeight="1" spans="1:13">
      <c r="A1" s="15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6"/>
    </row>
    <row r="2" ht="22.5" customHeight="1" spans="1:13">
      <c r="A2" s="17" t="s">
        <v>95</v>
      </c>
      <c r="B2" s="18"/>
      <c r="C2" s="19" t="s">
        <v>96</v>
      </c>
      <c r="D2" s="9"/>
      <c r="E2" s="9"/>
      <c r="F2" s="9"/>
      <c r="G2" s="9"/>
      <c r="H2" s="9"/>
      <c r="I2" s="9"/>
      <c r="J2" s="9"/>
      <c r="K2" s="17" t="s">
        <v>97</v>
      </c>
      <c r="L2" s="18"/>
      <c r="M2" s="27" t="s">
        <v>96</v>
      </c>
    </row>
    <row r="3" ht="22.5" customHeight="1" spans="1:13">
      <c r="A3" s="20" t="s">
        <v>7</v>
      </c>
      <c r="B3" s="20" t="s">
        <v>24</v>
      </c>
      <c r="C3" s="20" t="s">
        <v>98</v>
      </c>
      <c r="D3" s="20" t="s">
        <v>99</v>
      </c>
      <c r="E3" s="20" t="s">
        <v>100</v>
      </c>
      <c r="F3" s="20" t="s">
        <v>101</v>
      </c>
      <c r="G3" s="20" t="s">
        <v>102</v>
      </c>
      <c r="H3" s="20" t="s">
        <v>103</v>
      </c>
      <c r="I3" s="20" t="s">
        <v>104</v>
      </c>
      <c r="J3" s="20" t="s">
        <v>105</v>
      </c>
      <c r="K3" s="20" t="s">
        <v>7</v>
      </c>
      <c r="L3" s="20" t="s">
        <v>24</v>
      </c>
      <c r="M3" s="28"/>
    </row>
    <row r="4" ht="22.5" customHeight="1" spans="1:13">
      <c r="A4" s="19" t="s">
        <v>106</v>
      </c>
      <c r="B4" s="19" t="s">
        <v>107</v>
      </c>
      <c r="C4" s="9">
        <v>1300</v>
      </c>
      <c r="D4" s="9">
        <f>C4+256</f>
        <v>1556</v>
      </c>
      <c r="E4" s="9">
        <f t="shared" ref="E4:J4" si="0">D4+256</f>
        <v>1812</v>
      </c>
      <c r="F4" s="9">
        <f t="shared" si="0"/>
        <v>2068</v>
      </c>
      <c r="G4" s="9">
        <f t="shared" si="0"/>
        <v>2324</v>
      </c>
      <c r="H4" s="9">
        <f t="shared" si="0"/>
        <v>2580</v>
      </c>
      <c r="I4" s="9">
        <f t="shared" si="0"/>
        <v>2836</v>
      </c>
      <c r="J4" s="9">
        <f t="shared" si="0"/>
        <v>3092</v>
      </c>
      <c r="K4" s="19" t="s">
        <v>108</v>
      </c>
      <c r="L4" s="21" t="s">
        <v>109</v>
      </c>
      <c r="M4" s="9">
        <v>3348</v>
      </c>
    </row>
    <row r="5" ht="22.5" customHeight="1" spans="1:13">
      <c r="A5" s="19" t="s">
        <v>110</v>
      </c>
      <c r="B5" s="19" t="s">
        <v>111</v>
      </c>
      <c r="C5" s="9">
        <v>1301</v>
      </c>
      <c r="D5" s="9">
        <f t="shared" ref="D5:J55" si="1">C5+256</f>
        <v>1557</v>
      </c>
      <c r="E5" s="9">
        <f t="shared" si="1"/>
        <v>1813</v>
      </c>
      <c r="F5" s="9">
        <f t="shared" si="1"/>
        <v>2069</v>
      </c>
      <c r="G5" s="9">
        <f t="shared" si="1"/>
        <v>2325</v>
      </c>
      <c r="H5" s="9">
        <f t="shared" si="1"/>
        <v>2581</v>
      </c>
      <c r="I5" s="9">
        <f t="shared" si="1"/>
        <v>2837</v>
      </c>
      <c r="J5" s="9">
        <f t="shared" si="1"/>
        <v>3093</v>
      </c>
      <c r="K5" s="19" t="s">
        <v>112</v>
      </c>
      <c r="L5" s="22"/>
      <c r="M5" s="9">
        <v>3349</v>
      </c>
    </row>
    <row r="6" ht="22.5" customHeight="1" spans="1:13">
      <c r="A6" s="19" t="s">
        <v>113</v>
      </c>
      <c r="B6" s="19" t="s">
        <v>111</v>
      </c>
      <c r="C6" s="9">
        <v>1302</v>
      </c>
      <c r="D6" s="9">
        <f t="shared" si="1"/>
        <v>1558</v>
      </c>
      <c r="E6" s="9">
        <f t="shared" si="1"/>
        <v>1814</v>
      </c>
      <c r="F6" s="9">
        <f t="shared" si="1"/>
        <v>2070</v>
      </c>
      <c r="G6" s="9">
        <f t="shared" si="1"/>
        <v>2326</v>
      </c>
      <c r="H6" s="9">
        <f t="shared" si="1"/>
        <v>2582</v>
      </c>
      <c r="I6" s="9">
        <f t="shared" si="1"/>
        <v>2838</v>
      </c>
      <c r="J6" s="9">
        <f t="shared" si="1"/>
        <v>3094</v>
      </c>
      <c r="K6" s="19" t="s">
        <v>114</v>
      </c>
      <c r="L6" s="22"/>
      <c r="M6" s="9">
        <v>3350</v>
      </c>
    </row>
    <row r="7" ht="22.5" customHeight="1" spans="1:13">
      <c r="A7" s="19" t="s">
        <v>115</v>
      </c>
      <c r="B7" s="21" t="s">
        <v>109</v>
      </c>
      <c r="C7" s="9">
        <v>1303</v>
      </c>
      <c r="D7" s="9">
        <f t="shared" si="1"/>
        <v>1559</v>
      </c>
      <c r="E7" s="9">
        <f t="shared" si="1"/>
        <v>1815</v>
      </c>
      <c r="F7" s="9">
        <f t="shared" si="1"/>
        <v>2071</v>
      </c>
      <c r="G7" s="9">
        <f t="shared" si="1"/>
        <v>2327</v>
      </c>
      <c r="H7" s="9">
        <f t="shared" si="1"/>
        <v>2583</v>
      </c>
      <c r="I7" s="9">
        <f t="shared" si="1"/>
        <v>2839</v>
      </c>
      <c r="J7" s="9">
        <f t="shared" si="1"/>
        <v>3095</v>
      </c>
      <c r="K7" s="19" t="s">
        <v>116</v>
      </c>
      <c r="L7" s="23"/>
      <c r="M7" s="9">
        <v>3351</v>
      </c>
    </row>
    <row r="8" ht="22.5" customHeight="1" spans="1:13">
      <c r="A8" s="19" t="s">
        <v>117</v>
      </c>
      <c r="B8" s="22"/>
      <c r="C8" s="9">
        <v>1304</v>
      </c>
      <c r="D8" s="9">
        <f t="shared" si="1"/>
        <v>1560</v>
      </c>
      <c r="E8" s="9">
        <f t="shared" si="1"/>
        <v>1816</v>
      </c>
      <c r="F8" s="9">
        <f t="shared" si="1"/>
        <v>2072</v>
      </c>
      <c r="G8" s="9">
        <f t="shared" si="1"/>
        <v>2328</v>
      </c>
      <c r="H8" s="9">
        <f t="shared" si="1"/>
        <v>2584</v>
      </c>
      <c r="I8" s="9">
        <f t="shared" si="1"/>
        <v>2840</v>
      </c>
      <c r="J8" s="9">
        <f t="shared" si="1"/>
        <v>3096</v>
      </c>
      <c r="K8" s="29"/>
      <c r="L8" s="29"/>
      <c r="M8" s="29"/>
    </row>
    <row r="9" ht="22.5" customHeight="1" spans="1:13">
      <c r="A9" s="19" t="s">
        <v>118</v>
      </c>
      <c r="B9" s="22"/>
      <c r="C9" s="9">
        <v>1305</v>
      </c>
      <c r="D9" s="9">
        <f t="shared" si="1"/>
        <v>1561</v>
      </c>
      <c r="E9" s="9">
        <f t="shared" si="1"/>
        <v>1817</v>
      </c>
      <c r="F9" s="9">
        <f t="shared" si="1"/>
        <v>2073</v>
      </c>
      <c r="G9" s="9">
        <f t="shared" si="1"/>
        <v>2329</v>
      </c>
      <c r="H9" s="9">
        <f t="shared" si="1"/>
        <v>2585</v>
      </c>
      <c r="I9" s="9">
        <f t="shared" si="1"/>
        <v>2841</v>
      </c>
      <c r="J9" s="9">
        <f t="shared" si="1"/>
        <v>3097</v>
      </c>
      <c r="K9" s="29"/>
      <c r="L9" s="29"/>
      <c r="M9" s="29"/>
    </row>
    <row r="10" ht="22.5" customHeight="1" spans="1:13">
      <c r="A10" s="19" t="s">
        <v>119</v>
      </c>
      <c r="B10" s="22"/>
      <c r="C10" s="9">
        <v>1306</v>
      </c>
      <c r="D10" s="9">
        <f t="shared" si="1"/>
        <v>1562</v>
      </c>
      <c r="E10" s="9">
        <f t="shared" si="1"/>
        <v>1818</v>
      </c>
      <c r="F10" s="9">
        <f t="shared" si="1"/>
        <v>2074</v>
      </c>
      <c r="G10" s="9">
        <f t="shared" si="1"/>
        <v>2330</v>
      </c>
      <c r="H10" s="9">
        <f t="shared" si="1"/>
        <v>2586</v>
      </c>
      <c r="I10" s="9">
        <f t="shared" si="1"/>
        <v>2842</v>
      </c>
      <c r="J10" s="9">
        <f t="shared" si="1"/>
        <v>3098</v>
      </c>
      <c r="K10" s="29"/>
      <c r="L10" s="29"/>
      <c r="M10" s="29"/>
    </row>
    <row r="11" ht="22.5" customHeight="1" spans="1:13">
      <c r="A11" s="19" t="s">
        <v>120</v>
      </c>
      <c r="B11" s="22"/>
      <c r="C11" s="9">
        <v>1307</v>
      </c>
      <c r="D11" s="9">
        <f t="shared" si="1"/>
        <v>1563</v>
      </c>
      <c r="E11" s="9">
        <f t="shared" si="1"/>
        <v>1819</v>
      </c>
      <c r="F11" s="9">
        <f t="shared" si="1"/>
        <v>2075</v>
      </c>
      <c r="G11" s="9">
        <f t="shared" si="1"/>
        <v>2331</v>
      </c>
      <c r="H11" s="9">
        <f t="shared" si="1"/>
        <v>2587</v>
      </c>
      <c r="I11" s="9">
        <f t="shared" si="1"/>
        <v>2843</v>
      </c>
      <c r="J11" s="9">
        <f t="shared" si="1"/>
        <v>3099</v>
      </c>
      <c r="K11" s="29"/>
      <c r="L11" s="29"/>
      <c r="M11" s="29"/>
    </row>
    <row r="12" ht="22.5" customHeight="1" spans="1:13">
      <c r="A12" s="19" t="s">
        <v>121</v>
      </c>
      <c r="B12" s="22"/>
      <c r="C12" s="9">
        <v>1308</v>
      </c>
      <c r="D12" s="9">
        <f t="shared" si="1"/>
        <v>1564</v>
      </c>
      <c r="E12" s="9">
        <f t="shared" si="1"/>
        <v>1820</v>
      </c>
      <c r="F12" s="9">
        <f t="shared" si="1"/>
        <v>2076</v>
      </c>
      <c r="G12" s="9">
        <f t="shared" si="1"/>
        <v>2332</v>
      </c>
      <c r="H12" s="9">
        <f t="shared" si="1"/>
        <v>2588</v>
      </c>
      <c r="I12" s="9">
        <f t="shared" si="1"/>
        <v>2844</v>
      </c>
      <c r="J12" s="9">
        <f t="shared" si="1"/>
        <v>3100</v>
      </c>
      <c r="K12" s="29"/>
      <c r="L12" s="29"/>
      <c r="M12" s="29"/>
    </row>
    <row r="13" ht="22.5" customHeight="1" spans="1:13">
      <c r="A13" s="19" t="s">
        <v>122</v>
      </c>
      <c r="B13" s="23"/>
      <c r="C13" s="9">
        <v>1309</v>
      </c>
      <c r="D13" s="9">
        <f t="shared" si="1"/>
        <v>1565</v>
      </c>
      <c r="E13" s="9">
        <f t="shared" si="1"/>
        <v>1821</v>
      </c>
      <c r="F13" s="9">
        <f t="shared" si="1"/>
        <v>2077</v>
      </c>
      <c r="G13" s="9">
        <f t="shared" si="1"/>
        <v>2333</v>
      </c>
      <c r="H13" s="9">
        <f t="shared" si="1"/>
        <v>2589</v>
      </c>
      <c r="I13" s="9">
        <f t="shared" si="1"/>
        <v>2845</v>
      </c>
      <c r="J13" s="9">
        <f t="shared" si="1"/>
        <v>3101</v>
      </c>
      <c r="K13" s="29"/>
      <c r="L13" s="29"/>
      <c r="M13" s="29"/>
    </row>
    <row r="14" ht="22.5" customHeight="1" spans="1:13">
      <c r="A14" s="19" t="s">
        <v>123</v>
      </c>
      <c r="B14" s="19" t="s">
        <v>124</v>
      </c>
      <c r="C14" s="9">
        <v>1310</v>
      </c>
      <c r="D14" s="9">
        <f t="shared" si="1"/>
        <v>1566</v>
      </c>
      <c r="E14" s="9">
        <f t="shared" si="1"/>
        <v>1822</v>
      </c>
      <c r="F14" s="9">
        <f t="shared" si="1"/>
        <v>2078</v>
      </c>
      <c r="G14" s="9">
        <f t="shared" si="1"/>
        <v>2334</v>
      </c>
      <c r="H14" s="9">
        <f t="shared" si="1"/>
        <v>2590</v>
      </c>
      <c r="I14" s="9">
        <f t="shared" si="1"/>
        <v>2846</v>
      </c>
      <c r="J14" s="9">
        <f t="shared" si="1"/>
        <v>3102</v>
      </c>
      <c r="K14" s="29"/>
      <c r="L14" s="29"/>
      <c r="M14" s="29"/>
    </row>
    <row r="15" ht="22.5" customHeight="1" spans="1:13">
      <c r="A15" s="19" t="s">
        <v>125</v>
      </c>
      <c r="B15" s="19" t="s">
        <v>124</v>
      </c>
      <c r="C15" s="9">
        <v>1311</v>
      </c>
      <c r="D15" s="9">
        <f t="shared" si="1"/>
        <v>1567</v>
      </c>
      <c r="E15" s="9">
        <f t="shared" si="1"/>
        <v>1823</v>
      </c>
      <c r="F15" s="9">
        <f t="shared" si="1"/>
        <v>2079</v>
      </c>
      <c r="G15" s="9">
        <f t="shared" si="1"/>
        <v>2335</v>
      </c>
      <c r="H15" s="9">
        <f t="shared" si="1"/>
        <v>2591</v>
      </c>
      <c r="I15" s="9">
        <f t="shared" si="1"/>
        <v>2847</v>
      </c>
      <c r="J15" s="9">
        <f t="shared" si="1"/>
        <v>3103</v>
      </c>
      <c r="K15" s="29"/>
      <c r="L15" s="29"/>
      <c r="M15" s="29"/>
    </row>
    <row r="16" ht="22.5" customHeight="1" spans="1:13">
      <c r="A16" s="19" t="s">
        <v>126</v>
      </c>
      <c r="B16" s="21" t="s">
        <v>109</v>
      </c>
      <c r="C16" s="9">
        <v>1312</v>
      </c>
      <c r="D16" s="9">
        <f t="shared" si="1"/>
        <v>1568</v>
      </c>
      <c r="E16" s="9">
        <f t="shared" si="1"/>
        <v>1824</v>
      </c>
      <c r="F16" s="9">
        <f t="shared" si="1"/>
        <v>2080</v>
      </c>
      <c r="G16" s="9">
        <f t="shared" si="1"/>
        <v>2336</v>
      </c>
      <c r="H16" s="9">
        <f t="shared" si="1"/>
        <v>2592</v>
      </c>
      <c r="I16" s="9">
        <f t="shared" si="1"/>
        <v>2848</v>
      </c>
      <c r="J16" s="9">
        <f t="shared" si="1"/>
        <v>3104</v>
      </c>
      <c r="K16" s="29"/>
      <c r="L16" s="29"/>
      <c r="M16" s="29"/>
    </row>
    <row r="17" ht="22.5" customHeight="1" spans="1:13">
      <c r="A17" s="19" t="s">
        <v>127</v>
      </c>
      <c r="B17" s="22"/>
      <c r="C17" s="9">
        <v>1313</v>
      </c>
      <c r="D17" s="9">
        <f t="shared" si="1"/>
        <v>1569</v>
      </c>
      <c r="E17" s="9">
        <f t="shared" si="1"/>
        <v>1825</v>
      </c>
      <c r="F17" s="9">
        <f t="shared" si="1"/>
        <v>2081</v>
      </c>
      <c r="G17" s="9">
        <f t="shared" si="1"/>
        <v>2337</v>
      </c>
      <c r="H17" s="9">
        <f t="shared" si="1"/>
        <v>2593</v>
      </c>
      <c r="I17" s="9">
        <f t="shared" si="1"/>
        <v>2849</v>
      </c>
      <c r="J17" s="9">
        <f t="shared" si="1"/>
        <v>3105</v>
      </c>
      <c r="K17" s="29"/>
      <c r="L17" s="29"/>
      <c r="M17" s="29"/>
    </row>
    <row r="18" ht="22.5" customHeight="1" spans="1:13">
      <c r="A18" s="19" t="s">
        <v>128</v>
      </c>
      <c r="B18" s="22"/>
      <c r="C18" s="9">
        <v>1314</v>
      </c>
      <c r="D18" s="9">
        <f t="shared" si="1"/>
        <v>1570</v>
      </c>
      <c r="E18" s="9">
        <f t="shared" si="1"/>
        <v>1826</v>
      </c>
      <c r="F18" s="9">
        <f t="shared" si="1"/>
        <v>2082</v>
      </c>
      <c r="G18" s="9">
        <f t="shared" si="1"/>
        <v>2338</v>
      </c>
      <c r="H18" s="9">
        <f t="shared" si="1"/>
        <v>2594</v>
      </c>
      <c r="I18" s="9">
        <f t="shared" si="1"/>
        <v>2850</v>
      </c>
      <c r="J18" s="9">
        <f t="shared" si="1"/>
        <v>3106</v>
      </c>
      <c r="K18" s="29"/>
      <c r="L18" s="29"/>
      <c r="M18" s="29"/>
    </row>
    <row r="19" ht="22.5" customHeight="1" spans="1:13">
      <c r="A19" s="19" t="s">
        <v>129</v>
      </c>
      <c r="B19" s="22"/>
      <c r="C19" s="9">
        <v>1315</v>
      </c>
      <c r="D19" s="9">
        <f t="shared" si="1"/>
        <v>1571</v>
      </c>
      <c r="E19" s="9">
        <f t="shared" si="1"/>
        <v>1827</v>
      </c>
      <c r="F19" s="9">
        <f t="shared" si="1"/>
        <v>2083</v>
      </c>
      <c r="G19" s="9">
        <f t="shared" si="1"/>
        <v>2339</v>
      </c>
      <c r="H19" s="9">
        <f t="shared" si="1"/>
        <v>2595</v>
      </c>
      <c r="I19" s="9">
        <f t="shared" si="1"/>
        <v>2851</v>
      </c>
      <c r="J19" s="9">
        <f t="shared" si="1"/>
        <v>3107</v>
      </c>
      <c r="K19" s="29"/>
      <c r="L19" s="29"/>
      <c r="M19" s="29"/>
    </row>
    <row r="20" ht="22.5" customHeight="1" spans="1:13">
      <c r="A20" s="19" t="s">
        <v>130</v>
      </c>
      <c r="B20" s="22"/>
      <c r="C20" s="9">
        <v>1316</v>
      </c>
      <c r="D20" s="9">
        <f t="shared" si="1"/>
        <v>1572</v>
      </c>
      <c r="E20" s="9">
        <f t="shared" si="1"/>
        <v>1828</v>
      </c>
      <c r="F20" s="9">
        <f t="shared" si="1"/>
        <v>2084</v>
      </c>
      <c r="G20" s="9">
        <f t="shared" si="1"/>
        <v>2340</v>
      </c>
      <c r="H20" s="9">
        <f t="shared" si="1"/>
        <v>2596</v>
      </c>
      <c r="I20" s="9">
        <f t="shared" si="1"/>
        <v>2852</v>
      </c>
      <c r="J20" s="9">
        <f t="shared" si="1"/>
        <v>3108</v>
      </c>
      <c r="K20" s="29"/>
      <c r="L20" s="29"/>
      <c r="M20" s="29"/>
    </row>
    <row r="21" ht="22.5" customHeight="1" spans="1:13">
      <c r="A21" s="19" t="s">
        <v>131</v>
      </c>
      <c r="B21" s="22"/>
      <c r="C21" s="9">
        <v>1317</v>
      </c>
      <c r="D21" s="9">
        <f t="shared" si="1"/>
        <v>1573</v>
      </c>
      <c r="E21" s="9">
        <f t="shared" si="1"/>
        <v>1829</v>
      </c>
      <c r="F21" s="9">
        <f t="shared" si="1"/>
        <v>2085</v>
      </c>
      <c r="G21" s="9">
        <f t="shared" si="1"/>
        <v>2341</v>
      </c>
      <c r="H21" s="9">
        <f t="shared" si="1"/>
        <v>2597</v>
      </c>
      <c r="I21" s="9">
        <f t="shared" si="1"/>
        <v>2853</v>
      </c>
      <c r="J21" s="9">
        <f t="shared" si="1"/>
        <v>3109</v>
      </c>
      <c r="K21" s="29"/>
      <c r="L21" s="29"/>
      <c r="M21" s="29"/>
    </row>
    <row r="22" ht="22.5" customHeight="1" spans="1:13">
      <c r="A22" s="19" t="s">
        <v>132</v>
      </c>
      <c r="B22" s="23"/>
      <c r="C22" s="9">
        <v>1318</v>
      </c>
      <c r="D22" s="9">
        <f t="shared" si="1"/>
        <v>1574</v>
      </c>
      <c r="E22" s="9">
        <f t="shared" si="1"/>
        <v>1830</v>
      </c>
      <c r="F22" s="9">
        <f t="shared" si="1"/>
        <v>2086</v>
      </c>
      <c r="G22" s="9">
        <f t="shared" si="1"/>
        <v>2342</v>
      </c>
      <c r="H22" s="9">
        <f t="shared" si="1"/>
        <v>2598</v>
      </c>
      <c r="I22" s="9">
        <f t="shared" si="1"/>
        <v>2854</v>
      </c>
      <c r="J22" s="9">
        <f t="shared" si="1"/>
        <v>3110</v>
      </c>
      <c r="K22" s="29"/>
      <c r="L22" s="29"/>
      <c r="M22" s="29"/>
    </row>
    <row r="23" ht="22.5" customHeight="1" spans="1:13">
      <c r="A23" s="19" t="s">
        <v>133</v>
      </c>
      <c r="B23" s="19" t="s">
        <v>134</v>
      </c>
      <c r="C23" s="9">
        <v>1319</v>
      </c>
      <c r="D23" s="9">
        <f t="shared" si="1"/>
        <v>1575</v>
      </c>
      <c r="E23" s="9">
        <f t="shared" si="1"/>
        <v>1831</v>
      </c>
      <c r="F23" s="9">
        <f t="shared" si="1"/>
        <v>2087</v>
      </c>
      <c r="G23" s="9">
        <f t="shared" si="1"/>
        <v>2343</v>
      </c>
      <c r="H23" s="9">
        <f t="shared" si="1"/>
        <v>2599</v>
      </c>
      <c r="I23" s="9">
        <f t="shared" si="1"/>
        <v>2855</v>
      </c>
      <c r="J23" s="9">
        <f t="shared" si="1"/>
        <v>3111</v>
      </c>
      <c r="K23" s="29"/>
      <c r="L23" s="29"/>
      <c r="M23" s="29"/>
    </row>
    <row r="24" ht="22.5" customHeight="1" spans="1:13">
      <c r="A24" s="19" t="s">
        <v>135</v>
      </c>
      <c r="B24" s="19" t="s">
        <v>134</v>
      </c>
      <c r="C24" s="9">
        <v>1320</v>
      </c>
      <c r="D24" s="9">
        <f t="shared" si="1"/>
        <v>1576</v>
      </c>
      <c r="E24" s="9">
        <f t="shared" si="1"/>
        <v>1832</v>
      </c>
      <c r="F24" s="9">
        <f t="shared" si="1"/>
        <v>2088</v>
      </c>
      <c r="G24" s="9">
        <f t="shared" si="1"/>
        <v>2344</v>
      </c>
      <c r="H24" s="9">
        <f t="shared" si="1"/>
        <v>2600</v>
      </c>
      <c r="I24" s="9">
        <f t="shared" si="1"/>
        <v>2856</v>
      </c>
      <c r="J24" s="9">
        <f t="shared" si="1"/>
        <v>3112</v>
      </c>
      <c r="K24" s="29"/>
      <c r="L24" s="29"/>
      <c r="M24" s="29"/>
    </row>
    <row r="25" ht="22.5" customHeight="1" spans="1:13">
      <c r="A25" s="19" t="s">
        <v>136</v>
      </c>
      <c r="B25" s="19" t="s">
        <v>137</v>
      </c>
      <c r="C25" s="9">
        <v>1321</v>
      </c>
      <c r="D25" s="9">
        <f t="shared" si="1"/>
        <v>1577</v>
      </c>
      <c r="E25" s="9">
        <f t="shared" si="1"/>
        <v>1833</v>
      </c>
      <c r="F25" s="9">
        <f t="shared" si="1"/>
        <v>2089</v>
      </c>
      <c r="G25" s="9">
        <f t="shared" si="1"/>
        <v>2345</v>
      </c>
      <c r="H25" s="9">
        <f t="shared" si="1"/>
        <v>2601</v>
      </c>
      <c r="I25" s="9">
        <f t="shared" si="1"/>
        <v>2857</v>
      </c>
      <c r="J25" s="9">
        <f t="shared" si="1"/>
        <v>3113</v>
      </c>
      <c r="K25" s="29"/>
      <c r="L25" s="29"/>
      <c r="M25" s="29"/>
    </row>
    <row r="26" ht="22.5" customHeight="1" spans="1:13">
      <c r="A26" s="19" t="s">
        <v>138</v>
      </c>
      <c r="B26" s="19" t="s">
        <v>107</v>
      </c>
      <c r="C26" s="9">
        <v>1322</v>
      </c>
      <c r="D26" s="9">
        <f t="shared" si="1"/>
        <v>1578</v>
      </c>
      <c r="E26" s="9">
        <f t="shared" si="1"/>
        <v>1834</v>
      </c>
      <c r="F26" s="9">
        <f t="shared" si="1"/>
        <v>2090</v>
      </c>
      <c r="G26" s="9">
        <f t="shared" si="1"/>
        <v>2346</v>
      </c>
      <c r="H26" s="9">
        <f t="shared" si="1"/>
        <v>2602</v>
      </c>
      <c r="I26" s="9">
        <f t="shared" si="1"/>
        <v>2858</v>
      </c>
      <c r="J26" s="9">
        <f t="shared" si="1"/>
        <v>3114</v>
      </c>
      <c r="K26" s="29"/>
      <c r="L26" s="29"/>
      <c r="M26" s="29"/>
    </row>
    <row r="27" ht="22.5" customHeight="1" spans="1:13">
      <c r="A27" s="19" t="s">
        <v>139</v>
      </c>
      <c r="B27" s="19" t="s">
        <v>109</v>
      </c>
      <c r="C27" s="9">
        <v>1323</v>
      </c>
      <c r="D27" s="9">
        <f t="shared" si="1"/>
        <v>1579</v>
      </c>
      <c r="E27" s="9">
        <f t="shared" si="1"/>
        <v>1835</v>
      </c>
      <c r="F27" s="9">
        <f t="shared" si="1"/>
        <v>2091</v>
      </c>
      <c r="G27" s="9">
        <f t="shared" si="1"/>
        <v>2347</v>
      </c>
      <c r="H27" s="9">
        <f t="shared" si="1"/>
        <v>2603</v>
      </c>
      <c r="I27" s="9">
        <f t="shared" si="1"/>
        <v>2859</v>
      </c>
      <c r="J27" s="9">
        <f t="shared" si="1"/>
        <v>3115</v>
      </c>
      <c r="K27" s="29"/>
      <c r="L27" s="29"/>
      <c r="M27" s="29"/>
    </row>
    <row r="28" ht="22.5" customHeight="1" spans="1:13">
      <c r="A28" s="19" t="s">
        <v>140</v>
      </c>
      <c r="B28" s="9"/>
      <c r="C28" s="9">
        <v>1324</v>
      </c>
      <c r="D28" s="9">
        <f t="shared" si="1"/>
        <v>1580</v>
      </c>
      <c r="E28" s="9">
        <f t="shared" si="1"/>
        <v>1836</v>
      </c>
      <c r="F28" s="9">
        <f t="shared" si="1"/>
        <v>2092</v>
      </c>
      <c r="G28" s="9">
        <f t="shared" si="1"/>
        <v>2348</v>
      </c>
      <c r="H28" s="9">
        <f t="shared" si="1"/>
        <v>2604</v>
      </c>
      <c r="I28" s="9">
        <f t="shared" si="1"/>
        <v>2860</v>
      </c>
      <c r="J28" s="9">
        <f t="shared" si="1"/>
        <v>3116</v>
      </c>
      <c r="K28" s="29"/>
      <c r="L28" s="29"/>
      <c r="M28" s="29"/>
    </row>
    <row r="29" ht="22.5" customHeight="1" spans="1:13">
      <c r="A29" s="19" t="s">
        <v>141</v>
      </c>
      <c r="B29" s="19" t="s">
        <v>107</v>
      </c>
      <c r="C29" s="9">
        <v>1325</v>
      </c>
      <c r="D29" s="9">
        <f t="shared" si="1"/>
        <v>1581</v>
      </c>
      <c r="E29" s="9">
        <f t="shared" si="1"/>
        <v>1837</v>
      </c>
      <c r="F29" s="9">
        <f t="shared" si="1"/>
        <v>2093</v>
      </c>
      <c r="G29" s="9">
        <f t="shared" si="1"/>
        <v>2349</v>
      </c>
      <c r="H29" s="9">
        <f t="shared" si="1"/>
        <v>2605</v>
      </c>
      <c r="I29" s="9">
        <f t="shared" si="1"/>
        <v>2861</v>
      </c>
      <c r="J29" s="9">
        <f t="shared" si="1"/>
        <v>3117</v>
      </c>
      <c r="K29" s="29"/>
      <c r="L29" s="29"/>
      <c r="M29" s="29"/>
    </row>
    <row r="30" ht="22.5" customHeight="1" spans="1:13">
      <c r="A30" s="19" t="s">
        <v>142</v>
      </c>
      <c r="B30" s="9">
        <v>0.01</v>
      </c>
      <c r="C30" s="9">
        <v>1326</v>
      </c>
      <c r="D30" s="9">
        <f t="shared" si="1"/>
        <v>1582</v>
      </c>
      <c r="E30" s="9">
        <f t="shared" si="1"/>
        <v>1838</v>
      </c>
      <c r="F30" s="9">
        <f t="shared" si="1"/>
        <v>2094</v>
      </c>
      <c r="G30" s="9">
        <f t="shared" si="1"/>
        <v>2350</v>
      </c>
      <c r="H30" s="9">
        <f t="shared" si="1"/>
        <v>2606</v>
      </c>
      <c r="I30" s="9">
        <f t="shared" si="1"/>
        <v>2862</v>
      </c>
      <c r="J30" s="9">
        <f t="shared" si="1"/>
        <v>3118</v>
      </c>
      <c r="K30" s="29"/>
      <c r="L30" s="29"/>
      <c r="M30" s="29"/>
    </row>
    <row r="31" ht="22.5" customHeight="1" spans="1:13">
      <c r="A31" s="19" t="s">
        <v>143</v>
      </c>
      <c r="B31" s="19" t="s">
        <v>144</v>
      </c>
      <c r="C31" s="9">
        <v>1327</v>
      </c>
      <c r="D31" s="9">
        <f t="shared" si="1"/>
        <v>1583</v>
      </c>
      <c r="E31" s="9">
        <f t="shared" si="1"/>
        <v>1839</v>
      </c>
      <c r="F31" s="9">
        <f t="shared" si="1"/>
        <v>2095</v>
      </c>
      <c r="G31" s="9">
        <f t="shared" si="1"/>
        <v>2351</v>
      </c>
      <c r="H31" s="9">
        <f t="shared" si="1"/>
        <v>2607</v>
      </c>
      <c r="I31" s="9">
        <f t="shared" si="1"/>
        <v>2863</v>
      </c>
      <c r="J31" s="9">
        <f t="shared" si="1"/>
        <v>3119</v>
      </c>
      <c r="K31" s="29"/>
      <c r="L31" s="29"/>
      <c r="M31" s="29"/>
    </row>
    <row r="32" ht="22.5" customHeight="1" spans="1:13">
      <c r="A32" s="19" t="s">
        <v>145</v>
      </c>
      <c r="B32" s="19" t="s">
        <v>144</v>
      </c>
      <c r="C32" s="9">
        <v>1328</v>
      </c>
      <c r="D32" s="9">
        <f t="shared" si="1"/>
        <v>1584</v>
      </c>
      <c r="E32" s="9">
        <f t="shared" si="1"/>
        <v>1840</v>
      </c>
      <c r="F32" s="9">
        <f t="shared" si="1"/>
        <v>2096</v>
      </c>
      <c r="G32" s="9">
        <f t="shared" si="1"/>
        <v>2352</v>
      </c>
      <c r="H32" s="9">
        <f t="shared" si="1"/>
        <v>2608</v>
      </c>
      <c r="I32" s="9">
        <f t="shared" si="1"/>
        <v>2864</v>
      </c>
      <c r="J32" s="9">
        <f t="shared" si="1"/>
        <v>3120</v>
      </c>
      <c r="K32" s="29"/>
      <c r="L32" s="29"/>
      <c r="M32" s="29"/>
    </row>
    <row r="33" ht="22.5" customHeight="1" spans="1:13">
      <c r="A33" s="19" t="s">
        <v>146</v>
      </c>
      <c r="B33" s="19" t="s">
        <v>144</v>
      </c>
      <c r="C33" s="9">
        <v>1329</v>
      </c>
      <c r="D33" s="9">
        <f t="shared" si="1"/>
        <v>1585</v>
      </c>
      <c r="E33" s="9">
        <f t="shared" si="1"/>
        <v>1841</v>
      </c>
      <c r="F33" s="9">
        <f t="shared" si="1"/>
        <v>2097</v>
      </c>
      <c r="G33" s="9">
        <f t="shared" si="1"/>
        <v>2353</v>
      </c>
      <c r="H33" s="9">
        <f t="shared" si="1"/>
        <v>2609</v>
      </c>
      <c r="I33" s="9">
        <f t="shared" si="1"/>
        <v>2865</v>
      </c>
      <c r="J33" s="9">
        <f t="shared" si="1"/>
        <v>3121</v>
      </c>
      <c r="K33" s="29"/>
      <c r="L33" s="29"/>
      <c r="M33" s="29"/>
    </row>
    <row r="34" ht="22.5" customHeight="1" spans="1:13">
      <c r="A34" s="19" t="s">
        <v>147</v>
      </c>
      <c r="B34" s="19" t="s">
        <v>144</v>
      </c>
      <c r="C34" s="9">
        <v>1330</v>
      </c>
      <c r="D34" s="9">
        <f t="shared" si="1"/>
        <v>1586</v>
      </c>
      <c r="E34" s="9">
        <f t="shared" si="1"/>
        <v>1842</v>
      </c>
      <c r="F34" s="9">
        <f t="shared" si="1"/>
        <v>2098</v>
      </c>
      <c r="G34" s="9">
        <f t="shared" si="1"/>
        <v>2354</v>
      </c>
      <c r="H34" s="9">
        <f t="shared" si="1"/>
        <v>2610</v>
      </c>
      <c r="I34" s="9">
        <f t="shared" si="1"/>
        <v>2866</v>
      </c>
      <c r="J34" s="9">
        <f t="shared" si="1"/>
        <v>3122</v>
      </c>
      <c r="K34" s="29"/>
      <c r="L34" s="29"/>
      <c r="M34" s="29"/>
    </row>
    <row r="35" ht="22.5" customHeight="1" spans="1:13">
      <c r="A35" s="19" t="s">
        <v>148</v>
      </c>
      <c r="B35" s="9"/>
      <c r="C35" s="9">
        <v>1331</v>
      </c>
      <c r="D35" s="9">
        <f t="shared" si="1"/>
        <v>1587</v>
      </c>
      <c r="E35" s="9">
        <f t="shared" si="1"/>
        <v>1843</v>
      </c>
      <c r="F35" s="9">
        <f t="shared" si="1"/>
        <v>2099</v>
      </c>
      <c r="G35" s="9">
        <f t="shared" si="1"/>
        <v>2355</v>
      </c>
      <c r="H35" s="9">
        <f t="shared" si="1"/>
        <v>2611</v>
      </c>
      <c r="I35" s="9">
        <f t="shared" si="1"/>
        <v>2867</v>
      </c>
      <c r="J35" s="9">
        <f t="shared" si="1"/>
        <v>3123</v>
      </c>
      <c r="K35" s="29"/>
      <c r="L35" s="29"/>
      <c r="M35" s="29"/>
    </row>
    <row r="36" ht="22.5" customHeight="1" spans="1:13">
      <c r="A36" s="19" t="s">
        <v>149</v>
      </c>
      <c r="B36" s="9"/>
      <c r="C36" s="9">
        <v>1332</v>
      </c>
      <c r="D36" s="9">
        <f t="shared" si="1"/>
        <v>1588</v>
      </c>
      <c r="E36" s="9">
        <f t="shared" si="1"/>
        <v>1844</v>
      </c>
      <c r="F36" s="9">
        <f t="shared" si="1"/>
        <v>2100</v>
      </c>
      <c r="G36" s="9">
        <f t="shared" si="1"/>
        <v>2356</v>
      </c>
      <c r="H36" s="9">
        <f t="shared" si="1"/>
        <v>2612</v>
      </c>
      <c r="I36" s="9">
        <f t="shared" si="1"/>
        <v>2868</v>
      </c>
      <c r="J36" s="9">
        <f t="shared" si="1"/>
        <v>3124</v>
      </c>
      <c r="K36" s="29"/>
      <c r="L36" s="29"/>
      <c r="M36" s="29"/>
    </row>
    <row r="37" ht="22.5" customHeight="1" spans="1:13">
      <c r="A37" s="24" t="s">
        <v>150</v>
      </c>
      <c r="B37" s="21" t="s">
        <v>109</v>
      </c>
      <c r="C37" s="9">
        <v>1333</v>
      </c>
      <c r="D37" s="9">
        <f t="shared" si="1"/>
        <v>1589</v>
      </c>
      <c r="E37" s="9">
        <f t="shared" si="1"/>
        <v>1845</v>
      </c>
      <c r="F37" s="9">
        <f t="shared" si="1"/>
        <v>2101</v>
      </c>
      <c r="G37" s="9">
        <f t="shared" si="1"/>
        <v>2357</v>
      </c>
      <c r="H37" s="9">
        <f t="shared" si="1"/>
        <v>2613</v>
      </c>
      <c r="I37" s="9">
        <f t="shared" si="1"/>
        <v>2869</v>
      </c>
      <c r="J37" s="9">
        <f t="shared" si="1"/>
        <v>3125</v>
      </c>
      <c r="K37" s="29"/>
      <c r="L37" s="29"/>
      <c r="M37" s="29"/>
    </row>
    <row r="38" ht="22.5" customHeight="1" spans="1:13">
      <c r="A38" s="24" t="s">
        <v>151</v>
      </c>
      <c r="B38" s="22"/>
      <c r="C38" s="9">
        <v>1334</v>
      </c>
      <c r="D38" s="9">
        <f t="shared" si="1"/>
        <v>1590</v>
      </c>
      <c r="E38" s="9">
        <f t="shared" si="1"/>
        <v>1846</v>
      </c>
      <c r="F38" s="9">
        <f t="shared" si="1"/>
        <v>2102</v>
      </c>
      <c r="G38" s="9">
        <f t="shared" si="1"/>
        <v>2358</v>
      </c>
      <c r="H38" s="9">
        <f t="shared" si="1"/>
        <v>2614</v>
      </c>
      <c r="I38" s="9">
        <f t="shared" si="1"/>
        <v>2870</v>
      </c>
      <c r="J38" s="9">
        <f t="shared" si="1"/>
        <v>3126</v>
      </c>
      <c r="K38" s="29"/>
      <c r="L38" s="29"/>
      <c r="M38" s="29"/>
    </row>
    <row r="39" ht="22.5" customHeight="1" spans="1:13">
      <c r="A39" s="24" t="s">
        <v>152</v>
      </c>
      <c r="B39" s="22"/>
      <c r="C39" s="9">
        <v>1335</v>
      </c>
      <c r="D39" s="9">
        <f>C39+256</f>
        <v>1591</v>
      </c>
      <c r="E39" s="9">
        <f t="shared" ref="E39:J54" si="2">D39+256</f>
        <v>1847</v>
      </c>
      <c r="F39" s="9">
        <f t="shared" si="2"/>
        <v>2103</v>
      </c>
      <c r="G39" s="9">
        <f t="shared" si="2"/>
        <v>2359</v>
      </c>
      <c r="H39" s="9">
        <f t="shared" si="2"/>
        <v>2615</v>
      </c>
      <c r="I39" s="9">
        <f t="shared" si="2"/>
        <v>2871</v>
      </c>
      <c r="J39" s="9">
        <f t="shared" si="2"/>
        <v>3127</v>
      </c>
      <c r="K39" s="29"/>
      <c r="L39" s="29"/>
      <c r="M39" s="29"/>
    </row>
    <row r="40" ht="22.5" customHeight="1" spans="1:13">
      <c r="A40" s="24" t="s">
        <v>153</v>
      </c>
      <c r="B40" s="23"/>
      <c r="C40" s="9">
        <v>1336</v>
      </c>
      <c r="D40" s="9">
        <f t="shared" si="1"/>
        <v>1592</v>
      </c>
      <c r="E40" s="9">
        <f t="shared" si="1"/>
        <v>1848</v>
      </c>
      <c r="F40" s="9">
        <f t="shared" si="2"/>
        <v>2104</v>
      </c>
      <c r="G40" s="9">
        <f t="shared" si="2"/>
        <v>2360</v>
      </c>
      <c r="H40" s="9">
        <f t="shared" si="2"/>
        <v>2616</v>
      </c>
      <c r="I40" s="9">
        <f t="shared" si="2"/>
        <v>2872</v>
      </c>
      <c r="J40" s="9">
        <f t="shared" si="2"/>
        <v>3128</v>
      </c>
      <c r="K40" s="29"/>
      <c r="L40" s="29"/>
      <c r="M40" s="29"/>
    </row>
    <row r="41" ht="22.5" customHeight="1" spans="1:13">
      <c r="A41" s="24" t="s">
        <v>154</v>
      </c>
      <c r="B41" s="25"/>
      <c r="C41" s="9">
        <v>1337</v>
      </c>
      <c r="D41" s="9">
        <f t="shared" si="1"/>
        <v>1593</v>
      </c>
      <c r="E41" s="9">
        <f t="shared" si="2"/>
        <v>1849</v>
      </c>
      <c r="F41" s="9">
        <f t="shared" si="2"/>
        <v>2105</v>
      </c>
      <c r="G41" s="9">
        <f t="shared" si="2"/>
        <v>2361</v>
      </c>
      <c r="H41" s="9">
        <f t="shared" si="2"/>
        <v>2617</v>
      </c>
      <c r="I41" s="9">
        <f t="shared" si="2"/>
        <v>2873</v>
      </c>
      <c r="J41" s="9">
        <f t="shared" si="2"/>
        <v>3129</v>
      </c>
      <c r="K41" s="29"/>
      <c r="L41" s="29"/>
      <c r="M41" s="29"/>
    </row>
    <row r="42" ht="22.5" customHeight="1" spans="1:13">
      <c r="A42" s="24" t="s">
        <v>154</v>
      </c>
      <c r="B42" s="25"/>
      <c r="C42" s="9">
        <v>1338</v>
      </c>
      <c r="D42" s="9">
        <f t="shared" si="1"/>
        <v>1594</v>
      </c>
      <c r="E42" s="9">
        <f t="shared" si="2"/>
        <v>1850</v>
      </c>
      <c r="F42" s="9">
        <f t="shared" si="2"/>
        <v>2106</v>
      </c>
      <c r="G42" s="9">
        <f t="shared" si="2"/>
        <v>2362</v>
      </c>
      <c r="H42" s="9">
        <f t="shared" si="2"/>
        <v>2618</v>
      </c>
      <c r="I42" s="9">
        <f t="shared" si="2"/>
        <v>2874</v>
      </c>
      <c r="J42" s="9">
        <f t="shared" si="2"/>
        <v>3130</v>
      </c>
      <c r="K42" s="29"/>
      <c r="L42" s="29"/>
      <c r="M42" s="29"/>
    </row>
    <row r="43" ht="22.5" customHeight="1" spans="1:13">
      <c r="A43" s="24" t="s">
        <v>154</v>
      </c>
      <c r="B43" s="25"/>
      <c r="C43" s="9">
        <v>1339</v>
      </c>
      <c r="D43" s="9">
        <f t="shared" si="1"/>
        <v>1595</v>
      </c>
      <c r="E43" s="9">
        <f t="shared" si="2"/>
        <v>1851</v>
      </c>
      <c r="F43" s="9">
        <f t="shared" si="2"/>
        <v>2107</v>
      </c>
      <c r="G43" s="9">
        <f t="shared" si="2"/>
        <v>2363</v>
      </c>
      <c r="H43" s="9">
        <f t="shared" si="2"/>
        <v>2619</v>
      </c>
      <c r="I43" s="9">
        <f t="shared" si="2"/>
        <v>2875</v>
      </c>
      <c r="J43" s="9">
        <f t="shared" si="2"/>
        <v>3131</v>
      </c>
      <c r="K43" s="29"/>
      <c r="L43" s="29"/>
      <c r="M43" s="29"/>
    </row>
    <row r="44" ht="22.5" customHeight="1" spans="1:13">
      <c r="A44" s="24" t="s">
        <v>154</v>
      </c>
      <c r="B44" s="25"/>
      <c r="C44" s="9">
        <v>1340</v>
      </c>
      <c r="D44" s="9">
        <f t="shared" si="1"/>
        <v>1596</v>
      </c>
      <c r="E44" s="9">
        <f t="shared" si="2"/>
        <v>1852</v>
      </c>
      <c r="F44" s="9">
        <f t="shared" si="2"/>
        <v>2108</v>
      </c>
      <c r="G44" s="9">
        <f t="shared" si="2"/>
        <v>2364</v>
      </c>
      <c r="H44" s="9">
        <f t="shared" si="2"/>
        <v>2620</v>
      </c>
      <c r="I44" s="9">
        <f t="shared" si="2"/>
        <v>2876</v>
      </c>
      <c r="J44" s="9">
        <f t="shared" si="2"/>
        <v>3132</v>
      </c>
      <c r="K44" s="29"/>
      <c r="L44" s="29"/>
      <c r="M44" s="29"/>
    </row>
    <row r="45" ht="22.5" customHeight="1" spans="1:13">
      <c r="A45" s="24" t="s">
        <v>154</v>
      </c>
      <c r="B45" s="25"/>
      <c r="C45" s="9">
        <v>1341</v>
      </c>
      <c r="D45" s="9">
        <f t="shared" si="1"/>
        <v>1597</v>
      </c>
      <c r="E45" s="9">
        <f t="shared" si="2"/>
        <v>1853</v>
      </c>
      <c r="F45" s="9">
        <f t="shared" si="2"/>
        <v>2109</v>
      </c>
      <c r="G45" s="9">
        <f t="shared" si="2"/>
        <v>2365</v>
      </c>
      <c r="H45" s="9">
        <f t="shared" si="2"/>
        <v>2621</v>
      </c>
      <c r="I45" s="9">
        <f t="shared" si="2"/>
        <v>2877</v>
      </c>
      <c r="J45" s="9">
        <f t="shared" si="2"/>
        <v>3133</v>
      </c>
      <c r="K45" s="29"/>
      <c r="L45" s="29"/>
      <c r="M45" s="29"/>
    </row>
    <row r="46" ht="22.5" customHeight="1" spans="1:13">
      <c r="A46" s="24" t="s">
        <v>154</v>
      </c>
      <c r="B46" s="25"/>
      <c r="C46" s="9">
        <v>1342</v>
      </c>
      <c r="D46" s="9">
        <f t="shared" si="1"/>
        <v>1598</v>
      </c>
      <c r="E46" s="9">
        <f t="shared" si="2"/>
        <v>1854</v>
      </c>
      <c r="F46" s="9">
        <f t="shared" si="2"/>
        <v>2110</v>
      </c>
      <c r="G46" s="9">
        <f t="shared" si="2"/>
        <v>2366</v>
      </c>
      <c r="H46" s="9">
        <f t="shared" si="2"/>
        <v>2622</v>
      </c>
      <c r="I46" s="9">
        <f t="shared" si="2"/>
        <v>2878</v>
      </c>
      <c r="J46" s="9">
        <f t="shared" si="2"/>
        <v>3134</v>
      </c>
      <c r="K46" s="29"/>
      <c r="L46" s="29"/>
      <c r="M46" s="29"/>
    </row>
    <row r="47" ht="22.5" customHeight="1" spans="1:13">
      <c r="A47" s="24" t="s">
        <v>154</v>
      </c>
      <c r="B47" s="25"/>
      <c r="C47" s="9">
        <v>1343</v>
      </c>
      <c r="D47" s="9">
        <f t="shared" si="1"/>
        <v>1599</v>
      </c>
      <c r="E47" s="9">
        <f t="shared" si="2"/>
        <v>1855</v>
      </c>
      <c r="F47" s="9">
        <f t="shared" si="2"/>
        <v>2111</v>
      </c>
      <c r="G47" s="9">
        <f t="shared" si="2"/>
        <v>2367</v>
      </c>
      <c r="H47" s="9">
        <f t="shared" si="2"/>
        <v>2623</v>
      </c>
      <c r="I47" s="9">
        <f t="shared" si="2"/>
        <v>2879</v>
      </c>
      <c r="J47" s="9">
        <f t="shared" si="2"/>
        <v>3135</v>
      </c>
      <c r="K47" s="29"/>
      <c r="L47" s="29"/>
      <c r="M47" s="29"/>
    </row>
    <row r="48" ht="22.5" customHeight="1" spans="1:13">
      <c r="A48" s="24" t="s">
        <v>154</v>
      </c>
      <c r="B48" s="25"/>
      <c r="C48" s="9">
        <v>1344</v>
      </c>
      <c r="D48" s="9">
        <f t="shared" si="1"/>
        <v>1600</v>
      </c>
      <c r="E48" s="9">
        <f t="shared" si="2"/>
        <v>1856</v>
      </c>
      <c r="F48" s="9">
        <f t="shared" si="2"/>
        <v>2112</v>
      </c>
      <c r="G48" s="9">
        <f t="shared" si="2"/>
        <v>2368</v>
      </c>
      <c r="H48" s="9">
        <f t="shared" si="2"/>
        <v>2624</v>
      </c>
      <c r="I48" s="9">
        <f t="shared" si="2"/>
        <v>2880</v>
      </c>
      <c r="J48" s="9">
        <f t="shared" si="2"/>
        <v>3136</v>
      </c>
      <c r="K48" s="29"/>
      <c r="L48" s="29"/>
      <c r="M48" s="29"/>
    </row>
    <row r="49" ht="22.5" customHeight="1" spans="1:13">
      <c r="A49" s="24" t="s">
        <v>154</v>
      </c>
      <c r="B49" s="25"/>
      <c r="C49" s="9">
        <v>1345</v>
      </c>
      <c r="D49" s="9">
        <f t="shared" si="1"/>
        <v>1601</v>
      </c>
      <c r="E49" s="9">
        <f t="shared" si="2"/>
        <v>1857</v>
      </c>
      <c r="F49" s="9">
        <f t="shared" si="2"/>
        <v>2113</v>
      </c>
      <c r="G49" s="9">
        <f t="shared" si="2"/>
        <v>2369</v>
      </c>
      <c r="H49" s="9">
        <f t="shared" si="2"/>
        <v>2625</v>
      </c>
      <c r="I49" s="9">
        <f t="shared" si="2"/>
        <v>2881</v>
      </c>
      <c r="J49" s="9">
        <f t="shared" si="2"/>
        <v>3137</v>
      </c>
      <c r="K49" s="29"/>
      <c r="L49" s="29"/>
      <c r="M49" s="29"/>
    </row>
    <row r="50" ht="22.5" customHeight="1" spans="1:13">
      <c r="A50" s="24" t="s">
        <v>154</v>
      </c>
      <c r="B50" s="25"/>
      <c r="C50" s="9">
        <v>1346</v>
      </c>
      <c r="D50" s="9">
        <f t="shared" si="1"/>
        <v>1602</v>
      </c>
      <c r="E50" s="9">
        <f t="shared" si="2"/>
        <v>1858</v>
      </c>
      <c r="F50" s="9">
        <f t="shared" si="2"/>
        <v>2114</v>
      </c>
      <c r="G50" s="9">
        <f t="shared" si="2"/>
        <v>2370</v>
      </c>
      <c r="H50" s="9">
        <f t="shared" si="2"/>
        <v>2626</v>
      </c>
      <c r="I50" s="9">
        <f t="shared" si="2"/>
        <v>2882</v>
      </c>
      <c r="J50" s="9">
        <f t="shared" si="2"/>
        <v>3138</v>
      </c>
      <c r="K50" s="29"/>
      <c r="L50" s="29"/>
      <c r="M50" s="29"/>
    </row>
    <row r="51" ht="22.5" customHeight="1" spans="1:13">
      <c r="A51" s="24" t="s">
        <v>154</v>
      </c>
      <c r="B51" s="25"/>
      <c r="C51" s="9">
        <v>1347</v>
      </c>
      <c r="D51" s="9">
        <f t="shared" si="1"/>
        <v>1603</v>
      </c>
      <c r="E51" s="9">
        <f t="shared" si="2"/>
        <v>1859</v>
      </c>
      <c r="F51" s="9">
        <f t="shared" si="2"/>
        <v>2115</v>
      </c>
      <c r="G51" s="9">
        <f t="shared" si="2"/>
        <v>2371</v>
      </c>
      <c r="H51" s="9">
        <f t="shared" si="2"/>
        <v>2627</v>
      </c>
      <c r="I51" s="9">
        <f t="shared" si="2"/>
        <v>2883</v>
      </c>
      <c r="J51" s="9">
        <f t="shared" si="2"/>
        <v>3139</v>
      </c>
      <c r="K51" s="29"/>
      <c r="L51" s="29"/>
      <c r="M51" s="29"/>
    </row>
    <row r="52" ht="22.5" customHeight="1" spans="1:13">
      <c r="A52" s="19" t="s">
        <v>155</v>
      </c>
      <c r="B52" s="21" t="s">
        <v>109</v>
      </c>
      <c r="C52" s="9">
        <v>1348</v>
      </c>
      <c r="D52" s="9">
        <f t="shared" si="1"/>
        <v>1604</v>
      </c>
      <c r="E52" s="9">
        <f t="shared" si="2"/>
        <v>1860</v>
      </c>
      <c r="F52" s="9">
        <f t="shared" si="2"/>
        <v>2116</v>
      </c>
      <c r="G52" s="9">
        <f t="shared" si="2"/>
        <v>2372</v>
      </c>
      <c r="H52" s="9">
        <f t="shared" si="2"/>
        <v>2628</v>
      </c>
      <c r="I52" s="9">
        <f t="shared" si="2"/>
        <v>2884</v>
      </c>
      <c r="J52" s="9">
        <f t="shared" si="2"/>
        <v>3140</v>
      </c>
      <c r="K52" s="29"/>
      <c r="L52" s="29"/>
      <c r="M52" s="29"/>
    </row>
    <row r="53" ht="22.5" customHeight="1" spans="1:13">
      <c r="A53" s="19" t="s">
        <v>156</v>
      </c>
      <c r="B53" s="22"/>
      <c r="C53" s="9">
        <v>1349</v>
      </c>
      <c r="D53" s="9">
        <f t="shared" si="1"/>
        <v>1605</v>
      </c>
      <c r="E53" s="9">
        <f t="shared" si="2"/>
        <v>1861</v>
      </c>
      <c r="F53" s="9">
        <f t="shared" si="2"/>
        <v>2117</v>
      </c>
      <c r="G53" s="9">
        <f t="shared" si="2"/>
        <v>2373</v>
      </c>
      <c r="H53" s="9">
        <f t="shared" si="2"/>
        <v>2629</v>
      </c>
      <c r="I53" s="9">
        <f t="shared" si="2"/>
        <v>2885</v>
      </c>
      <c r="J53" s="9">
        <f t="shared" si="2"/>
        <v>3141</v>
      </c>
      <c r="K53" s="29"/>
      <c r="L53" s="29"/>
      <c r="M53" s="29"/>
    </row>
    <row r="54" ht="22.5" customHeight="1" spans="1:13">
      <c r="A54" s="19" t="s">
        <v>157</v>
      </c>
      <c r="B54" s="22"/>
      <c r="C54" s="9">
        <v>1350</v>
      </c>
      <c r="D54" s="9">
        <f t="shared" si="1"/>
        <v>1606</v>
      </c>
      <c r="E54" s="9">
        <f t="shared" si="2"/>
        <v>1862</v>
      </c>
      <c r="F54" s="9">
        <f t="shared" si="2"/>
        <v>2118</v>
      </c>
      <c r="G54" s="9">
        <f t="shared" si="2"/>
        <v>2374</v>
      </c>
      <c r="H54" s="9">
        <f t="shared" si="2"/>
        <v>2630</v>
      </c>
      <c r="I54" s="9">
        <f t="shared" si="2"/>
        <v>2886</v>
      </c>
      <c r="J54" s="9">
        <f t="shared" si="2"/>
        <v>3142</v>
      </c>
      <c r="K54" s="29"/>
      <c r="L54" s="29"/>
      <c r="M54" s="29"/>
    </row>
    <row r="55" ht="22.5" customHeight="1" spans="1:13">
      <c r="A55" s="19" t="s">
        <v>158</v>
      </c>
      <c r="B55" s="23"/>
      <c r="C55" s="9">
        <v>1351</v>
      </c>
      <c r="D55" s="9">
        <f t="shared" si="1"/>
        <v>1607</v>
      </c>
      <c r="E55" s="9">
        <f t="shared" ref="E55:J55" si="3">D55+256</f>
        <v>1863</v>
      </c>
      <c r="F55" s="9">
        <f t="shared" si="3"/>
        <v>2119</v>
      </c>
      <c r="G55" s="9">
        <f t="shared" si="3"/>
        <v>2375</v>
      </c>
      <c r="H55" s="9">
        <f t="shared" si="3"/>
        <v>2631</v>
      </c>
      <c r="I55" s="9">
        <f t="shared" si="3"/>
        <v>2887</v>
      </c>
      <c r="J55" s="9">
        <f t="shared" si="3"/>
        <v>3143</v>
      </c>
      <c r="K55" s="29"/>
      <c r="L55" s="29"/>
      <c r="M55" s="29"/>
    </row>
  </sheetData>
  <mergeCells count="9">
    <mergeCell ref="A1:M1"/>
    <mergeCell ref="A2:B2"/>
    <mergeCell ref="C2:J2"/>
    <mergeCell ref="K2:L2"/>
    <mergeCell ref="B7:B13"/>
    <mergeCell ref="B16:B22"/>
    <mergeCell ref="B37:B40"/>
    <mergeCell ref="B52:B55"/>
    <mergeCell ref="L4:L7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pane ySplit="3" topLeftCell="A15" activePane="bottomLeft" state="frozen"/>
      <selection/>
      <selection pane="bottomLeft" activeCell="A1" sqref="$A1:$XFD1048576"/>
    </sheetView>
  </sheetViews>
  <sheetFormatPr defaultColWidth="9" defaultRowHeight="13.5" outlineLevelRow="6"/>
  <cols>
    <col min="1" max="1" width="18.675" customWidth="1"/>
    <col min="2" max="2" width="33.8416666666667" customWidth="1"/>
    <col min="3" max="3" width="11.175" customWidth="1"/>
    <col min="4" max="10" width="11.675" customWidth="1"/>
    <col min="11" max="11" width="20.175" customWidth="1"/>
    <col min="12" max="12" width="29.3416666666667" customWidth="1"/>
    <col min="13" max="13" width="18.3416666666667" customWidth="1"/>
  </cols>
  <sheetData>
    <row r="1" customFormat="1" ht="24.5" customHeight="1" spans="1:13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0"/>
    </row>
    <row r="2" ht="18.5" customHeight="1" spans="1:13">
      <c r="A2" s="2" t="s">
        <v>7</v>
      </c>
      <c r="B2" s="3" t="s">
        <v>0</v>
      </c>
      <c r="C2" s="4" t="s">
        <v>96</v>
      </c>
      <c r="D2" s="5"/>
      <c r="E2" s="5"/>
      <c r="F2" s="5"/>
      <c r="G2" s="5"/>
      <c r="H2" s="5"/>
      <c r="I2" s="5"/>
      <c r="J2" s="5"/>
      <c r="K2" s="2" t="s">
        <v>7</v>
      </c>
      <c r="L2" s="3" t="s">
        <v>0</v>
      </c>
      <c r="M2" s="11" t="s">
        <v>96</v>
      </c>
    </row>
    <row r="3" ht="18.5" customHeight="1" spans="1:13">
      <c r="A3" s="6"/>
      <c r="B3" s="7"/>
      <c r="C3" s="6" t="s">
        <v>98</v>
      </c>
      <c r="D3" s="8" t="s">
        <v>99</v>
      </c>
      <c r="E3" s="8" t="s">
        <v>100</v>
      </c>
      <c r="F3" s="8" t="s">
        <v>101</v>
      </c>
      <c r="G3" s="8" t="s">
        <v>102</v>
      </c>
      <c r="H3" s="8" t="s">
        <v>103</v>
      </c>
      <c r="I3" s="8" t="s">
        <v>104</v>
      </c>
      <c r="J3" s="8" t="s">
        <v>105</v>
      </c>
      <c r="K3" s="6"/>
      <c r="L3" s="7"/>
      <c r="M3" s="6"/>
    </row>
    <row r="4" ht="134" customHeight="1" spans="1:13">
      <c r="A4" s="6" t="s">
        <v>159</v>
      </c>
      <c r="B4" s="7" t="s">
        <v>160</v>
      </c>
      <c r="C4" s="6">
        <v>1283</v>
      </c>
      <c r="D4" s="9">
        <f>C4+256</f>
        <v>1539</v>
      </c>
      <c r="E4" s="9">
        <f t="shared" ref="E4:J4" si="0">D4+256</f>
        <v>1795</v>
      </c>
      <c r="F4" s="9">
        <f t="shared" si="0"/>
        <v>2051</v>
      </c>
      <c r="G4" s="9">
        <f t="shared" si="0"/>
        <v>2307</v>
      </c>
      <c r="H4" s="9">
        <f t="shared" si="0"/>
        <v>2563</v>
      </c>
      <c r="I4" s="9">
        <f t="shared" si="0"/>
        <v>2819</v>
      </c>
      <c r="J4" s="9">
        <f t="shared" si="0"/>
        <v>3075</v>
      </c>
      <c r="K4" s="6" t="s">
        <v>161</v>
      </c>
      <c r="L4" s="7" t="s">
        <v>162</v>
      </c>
      <c r="M4" s="6">
        <v>3331</v>
      </c>
    </row>
    <row r="5" ht="134" customHeight="1" spans="1:13">
      <c r="A5" s="6" t="s">
        <v>163</v>
      </c>
      <c r="B5" s="7" t="s">
        <v>164</v>
      </c>
      <c r="C5" s="6">
        <v>1285</v>
      </c>
      <c r="D5" s="9">
        <f t="shared" ref="D5:J7" si="1">C5+256</f>
        <v>1541</v>
      </c>
      <c r="E5" s="9">
        <f t="shared" si="1"/>
        <v>1797</v>
      </c>
      <c r="F5" s="9">
        <f t="shared" si="1"/>
        <v>2053</v>
      </c>
      <c r="G5" s="9">
        <f t="shared" si="1"/>
        <v>2309</v>
      </c>
      <c r="H5" s="9">
        <f t="shared" si="1"/>
        <v>2565</v>
      </c>
      <c r="I5" s="9">
        <f t="shared" si="1"/>
        <v>2821</v>
      </c>
      <c r="J5" s="9">
        <f t="shared" si="1"/>
        <v>3077</v>
      </c>
      <c r="K5" s="12"/>
      <c r="L5" s="13"/>
      <c r="M5" s="12"/>
    </row>
    <row r="6" ht="134" customHeight="1" spans="1:13">
      <c r="A6" s="6" t="s">
        <v>165</v>
      </c>
      <c r="B6" s="7" t="s">
        <v>166</v>
      </c>
      <c r="C6" s="6">
        <v>1286</v>
      </c>
      <c r="D6" s="9">
        <f t="shared" si="1"/>
        <v>1542</v>
      </c>
      <c r="E6" s="9">
        <f t="shared" si="1"/>
        <v>1798</v>
      </c>
      <c r="F6" s="9">
        <f t="shared" si="1"/>
        <v>2054</v>
      </c>
      <c r="G6" s="9">
        <f t="shared" si="1"/>
        <v>2310</v>
      </c>
      <c r="H6" s="9">
        <f t="shared" si="1"/>
        <v>2566</v>
      </c>
      <c r="I6" s="9">
        <f t="shared" si="1"/>
        <v>2822</v>
      </c>
      <c r="J6" s="9">
        <f t="shared" si="1"/>
        <v>3078</v>
      </c>
      <c r="K6" s="6" t="s">
        <v>167</v>
      </c>
      <c r="L6" s="7" t="s">
        <v>168</v>
      </c>
      <c r="M6" s="6">
        <v>3334</v>
      </c>
    </row>
    <row r="7" ht="117.5" customHeight="1" spans="1:13">
      <c r="A7" s="6" t="s">
        <v>169</v>
      </c>
      <c r="B7" s="7" t="s">
        <v>170</v>
      </c>
      <c r="C7" s="6">
        <v>1288</v>
      </c>
      <c r="D7" s="9">
        <f t="shared" si="1"/>
        <v>1544</v>
      </c>
      <c r="E7" s="9">
        <f t="shared" si="1"/>
        <v>1800</v>
      </c>
      <c r="F7" s="9">
        <f t="shared" si="1"/>
        <v>2056</v>
      </c>
      <c r="G7" s="9">
        <f t="shared" si="1"/>
        <v>2312</v>
      </c>
      <c r="H7" s="9">
        <f t="shared" si="1"/>
        <v>2568</v>
      </c>
      <c r="I7" s="9">
        <f t="shared" si="1"/>
        <v>2824</v>
      </c>
      <c r="J7" s="9">
        <f t="shared" si="1"/>
        <v>3080</v>
      </c>
      <c r="K7" s="12"/>
      <c r="L7" s="13"/>
      <c r="M7" s="12"/>
    </row>
  </sheetData>
  <mergeCells count="2">
    <mergeCell ref="A1:M1"/>
    <mergeCell ref="C2:J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pane ySplit="3" topLeftCell="A8" activePane="bottomLeft" state="frozen"/>
      <selection/>
      <selection pane="bottomLeft" activeCell="A1" sqref="$A1:$XFD1048576"/>
    </sheetView>
  </sheetViews>
  <sheetFormatPr defaultColWidth="9" defaultRowHeight="13.5" outlineLevelRow="7"/>
  <cols>
    <col min="1" max="1" width="14.5083333333333" customWidth="1"/>
    <col min="2" max="2" width="40.625" customWidth="1"/>
    <col min="3" max="3" width="11.175" customWidth="1"/>
    <col min="4" max="10" width="11.675" customWidth="1"/>
    <col min="11" max="11" width="16.3416666666667" customWidth="1"/>
    <col min="12" max="12" width="40.625" customWidth="1"/>
    <col min="13" max="13" width="18.3416666666667" customWidth="1"/>
  </cols>
  <sheetData>
    <row r="1" ht="24.5" customHeight="1" spans="1:13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0"/>
    </row>
    <row r="2" ht="18.5" customHeight="1" spans="1:13">
      <c r="A2" s="2" t="s">
        <v>7</v>
      </c>
      <c r="B2" s="3" t="s">
        <v>0</v>
      </c>
      <c r="C2" s="4" t="s">
        <v>96</v>
      </c>
      <c r="D2" s="5"/>
      <c r="E2" s="5"/>
      <c r="F2" s="5"/>
      <c r="G2" s="5"/>
      <c r="H2" s="5"/>
      <c r="I2" s="5"/>
      <c r="J2" s="5"/>
      <c r="K2" s="2" t="s">
        <v>7</v>
      </c>
      <c r="L2" s="3" t="s">
        <v>0</v>
      </c>
      <c r="M2" s="11" t="s">
        <v>96</v>
      </c>
    </row>
    <row r="3" ht="18.5" customHeight="1" spans="1:13">
      <c r="A3" s="6"/>
      <c r="B3" s="7"/>
      <c r="C3" s="6" t="s">
        <v>98</v>
      </c>
      <c r="D3" s="8" t="s">
        <v>99</v>
      </c>
      <c r="E3" s="8" t="s">
        <v>100</v>
      </c>
      <c r="F3" s="8" t="s">
        <v>101</v>
      </c>
      <c r="G3" s="8" t="s">
        <v>102</v>
      </c>
      <c r="H3" s="8" t="s">
        <v>103</v>
      </c>
      <c r="I3" s="8" t="s">
        <v>104</v>
      </c>
      <c r="J3" s="8" t="s">
        <v>105</v>
      </c>
      <c r="K3" s="6"/>
      <c r="L3" s="7"/>
      <c r="M3" s="6"/>
    </row>
    <row r="4" ht="282.5" customHeight="1" spans="1:13">
      <c r="A4" s="6" t="s">
        <v>171</v>
      </c>
      <c r="B4" s="7" t="s">
        <v>172</v>
      </c>
      <c r="C4" s="6">
        <v>1294</v>
      </c>
      <c r="D4" s="9">
        <f>C4+256</f>
        <v>1550</v>
      </c>
      <c r="E4" s="9">
        <f t="shared" ref="E4:J4" si="0">D4+256</f>
        <v>1806</v>
      </c>
      <c r="F4" s="9">
        <f t="shared" si="0"/>
        <v>2062</v>
      </c>
      <c r="G4" s="9">
        <f t="shared" si="0"/>
        <v>2318</v>
      </c>
      <c r="H4" s="9">
        <f t="shared" si="0"/>
        <v>2574</v>
      </c>
      <c r="I4" s="9">
        <f t="shared" si="0"/>
        <v>2830</v>
      </c>
      <c r="J4" s="9">
        <f t="shared" si="0"/>
        <v>3086</v>
      </c>
      <c r="K4" s="6" t="s">
        <v>173</v>
      </c>
      <c r="L4" s="7" t="s">
        <v>174</v>
      </c>
      <c r="M4" s="6">
        <v>3342</v>
      </c>
    </row>
    <row r="5" ht="266" customHeight="1" spans="1:13">
      <c r="A5" s="6" t="s">
        <v>175</v>
      </c>
      <c r="B5" s="7" t="s">
        <v>176</v>
      </c>
      <c r="C5" s="6">
        <v>1295</v>
      </c>
      <c r="D5" s="9">
        <f t="shared" ref="D5:J5" si="1">C5+256</f>
        <v>1551</v>
      </c>
      <c r="E5" s="9">
        <f t="shared" si="1"/>
        <v>1807</v>
      </c>
      <c r="F5" s="9">
        <f t="shared" si="1"/>
        <v>2063</v>
      </c>
      <c r="G5" s="9">
        <f t="shared" si="1"/>
        <v>2319</v>
      </c>
      <c r="H5" s="9">
        <f t="shared" si="1"/>
        <v>2575</v>
      </c>
      <c r="I5" s="9">
        <f t="shared" si="1"/>
        <v>2831</v>
      </c>
      <c r="J5" s="9">
        <f t="shared" si="1"/>
        <v>3087</v>
      </c>
      <c r="K5" s="6" t="s">
        <v>177</v>
      </c>
      <c r="L5" s="7" t="s">
        <v>178</v>
      </c>
      <c r="M5" s="6">
        <v>3343</v>
      </c>
    </row>
    <row r="6" ht="266" customHeight="1" spans="1:13">
      <c r="A6" s="6" t="s">
        <v>179</v>
      </c>
      <c r="B6" s="7" t="s">
        <v>180</v>
      </c>
      <c r="C6" s="6">
        <v>1296</v>
      </c>
      <c r="D6" s="9">
        <f t="shared" ref="D6:J6" si="2">C6+256</f>
        <v>1552</v>
      </c>
      <c r="E6" s="9">
        <f t="shared" si="2"/>
        <v>1808</v>
      </c>
      <c r="F6" s="9">
        <f t="shared" si="2"/>
        <v>2064</v>
      </c>
      <c r="G6" s="9">
        <f t="shared" si="2"/>
        <v>2320</v>
      </c>
      <c r="H6" s="9">
        <f t="shared" si="2"/>
        <v>2576</v>
      </c>
      <c r="I6" s="9">
        <f t="shared" si="2"/>
        <v>2832</v>
      </c>
      <c r="J6" s="9">
        <f t="shared" si="2"/>
        <v>3088</v>
      </c>
      <c r="K6" s="6" t="s">
        <v>181</v>
      </c>
      <c r="L6" s="7" t="s">
        <v>182</v>
      </c>
      <c r="M6" s="6">
        <v>3344</v>
      </c>
    </row>
    <row r="7" ht="299" customHeight="1" spans="1:13">
      <c r="A7" s="6" t="s">
        <v>183</v>
      </c>
      <c r="B7" s="7" t="s">
        <v>184</v>
      </c>
      <c r="C7" s="6">
        <v>1298</v>
      </c>
      <c r="D7" s="9">
        <f t="shared" ref="D7:J7" si="3">C7+256</f>
        <v>1554</v>
      </c>
      <c r="E7" s="9">
        <f t="shared" si="3"/>
        <v>1810</v>
      </c>
      <c r="F7" s="9">
        <f t="shared" si="3"/>
        <v>2066</v>
      </c>
      <c r="G7" s="9">
        <f t="shared" si="3"/>
        <v>2322</v>
      </c>
      <c r="H7" s="9">
        <f t="shared" si="3"/>
        <v>2578</v>
      </c>
      <c r="I7" s="9">
        <f t="shared" si="3"/>
        <v>2834</v>
      </c>
      <c r="J7" s="9">
        <f t="shared" si="3"/>
        <v>3090</v>
      </c>
      <c r="K7" s="6" t="s">
        <v>185</v>
      </c>
      <c r="L7" s="7" t="s">
        <v>186</v>
      </c>
      <c r="M7" s="6">
        <v>3345</v>
      </c>
    </row>
    <row r="8" ht="266" customHeight="1" spans="1:13">
      <c r="A8" s="6" t="s">
        <v>187</v>
      </c>
      <c r="B8" s="7" t="s">
        <v>188</v>
      </c>
      <c r="C8" s="6">
        <v>1299</v>
      </c>
      <c r="D8" s="9">
        <f t="shared" ref="D8" si="4">C8+256</f>
        <v>1555</v>
      </c>
      <c r="E8" s="9">
        <f t="shared" ref="E8" si="5">D8+256</f>
        <v>1811</v>
      </c>
      <c r="F8" s="9">
        <f t="shared" ref="F8" si="6">E8+256</f>
        <v>2067</v>
      </c>
      <c r="G8" s="9">
        <f t="shared" ref="G8" si="7">F8+256</f>
        <v>2323</v>
      </c>
      <c r="H8" s="9">
        <f t="shared" ref="H8" si="8">G8+256</f>
        <v>2579</v>
      </c>
      <c r="I8" s="9">
        <f t="shared" ref="I8" si="9">H8+256</f>
        <v>2835</v>
      </c>
      <c r="J8" s="9">
        <f t="shared" ref="J8" si="10">I8+256</f>
        <v>3091</v>
      </c>
      <c r="K8" s="6" t="s">
        <v>189</v>
      </c>
      <c r="L8" s="7" t="s">
        <v>190</v>
      </c>
      <c r="M8" s="6">
        <v>3346</v>
      </c>
    </row>
  </sheetData>
  <mergeCells count="2">
    <mergeCell ref="A1:M1"/>
    <mergeCell ref="C2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 Version Information</vt:lpstr>
      <vt:lpstr> User operation commands</vt:lpstr>
      <vt:lpstr> Crew information</vt:lpstr>
      <vt:lpstr> Analog</vt:lpstr>
      <vt:lpstr> Input, Output</vt:lpstr>
      <vt:lpstr> 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华斯⚡️</cp:lastModifiedBy>
  <dcterms:created xsi:type="dcterms:W3CDTF">2006-09-16T00:00:00Z</dcterms:created>
  <dcterms:modified xsi:type="dcterms:W3CDTF">2025-02-10T07:37:27Z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7A7132D2757C48429D1A2FE1508B87FE_13</vt:lpwstr>
  </property>
  <property fmtid="{D5CDD505-2E9C-101B-9397-08002B2CF9AE}" pid="3" name="KSOProductBuildVer">
    <vt:lpwstr>2052-12.1.0.19770</vt:lpwstr>
  </property>
</Properties>
</file>